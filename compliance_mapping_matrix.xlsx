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HY2998\Downloads\"/>
    </mc:Choice>
  </mc:AlternateContent>
  <xr:revisionPtr revIDLastSave="0" documentId="13_ncr:1_{C7F27A55-D17E-4C80-89ED-F0F1117739E7}" xr6:coauthVersionLast="47" xr6:coauthVersionMax="47" xr10:uidLastSave="{00000000-0000-0000-0000-000000000000}"/>
  <bookViews>
    <workbookView xWindow="-108" yWindow="-108" windowWidth="23256" windowHeight="13896" tabRatio="500" xr2:uid="{00000000-000D-0000-FFFF-FFFF00000000}"/>
  </bookViews>
  <sheets>
    <sheet name="Summary" sheetId="1" r:id="rId1"/>
    <sheet name="Mapping_Matrix" sheetId="2" r:id="rId2"/>
    <sheet name="Gap_Register" sheetId="3" r:id="rId3"/>
    <sheet name="Framework_Overview" sheetId="4" r:id="rId4"/>
    <sheet name="Legend" sheetId="5" r:id="rId5"/>
  </sheets>
  <definedNames>
    <definedName name="_xlnm._FilterDatabase" localSheetId="2" hidden="1">Gap_Register!$A$4:$M$18</definedName>
    <definedName name="_xlnm._FilterDatabase" localSheetId="1" hidden="1">Mapping_Matrix!$A$4:$P$39</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8" i="3" l="1"/>
  <c r="F18" i="3"/>
  <c r="E18" i="3"/>
  <c r="D18" i="3"/>
  <c r="C18" i="3"/>
  <c r="G17" i="3"/>
  <c r="D17" i="3"/>
  <c r="C17" i="3"/>
  <c r="G16" i="3"/>
  <c r="D16" i="3"/>
  <c r="C16" i="3"/>
  <c r="G15" i="3"/>
  <c r="D15" i="3"/>
  <c r="C15" i="3"/>
  <c r="G14" i="3"/>
  <c r="D14" i="3"/>
  <c r="C14" i="3"/>
  <c r="G13" i="3"/>
  <c r="D13" i="3"/>
  <c r="C13" i="3"/>
  <c r="G12" i="3"/>
  <c r="E12" i="3"/>
  <c r="D12" i="3"/>
  <c r="C12" i="3"/>
  <c r="G11" i="3"/>
  <c r="E11" i="3"/>
  <c r="D11" i="3"/>
  <c r="C11" i="3"/>
  <c r="G10" i="3"/>
  <c r="D10" i="3"/>
  <c r="C10" i="3"/>
  <c r="G9" i="3"/>
  <c r="E9" i="3"/>
  <c r="D9" i="3"/>
  <c r="C9" i="3"/>
  <c r="G8" i="3"/>
  <c r="D8" i="3"/>
  <c r="C8" i="3"/>
  <c r="G7" i="3"/>
  <c r="E7" i="3"/>
  <c r="D7" i="3"/>
  <c r="C7" i="3"/>
  <c r="G6" i="3"/>
  <c r="D6" i="3"/>
  <c r="C6" i="3"/>
  <c r="G5" i="3"/>
  <c r="D5" i="3"/>
  <c r="C5" i="3"/>
  <c r="L39" i="2"/>
  <c r="M39" i="2" s="1"/>
  <c r="F17" i="3" s="1"/>
  <c r="K39" i="2"/>
  <c r="L38" i="2"/>
  <c r="M38" i="2" s="1"/>
  <c r="K38" i="2"/>
  <c r="L37" i="2"/>
  <c r="M37" i="2" s="1"/>
  <c r="F11" i="3" s="1"/>
  <c r="K37" i="2"/>
  <c r="L36" i="2"/>
  <c r="M36" i="2" s="1"/>
  <c r="K36" i="2"/>
  <c r="L35" i="2"/>
  <c r="M35" i="2" s="1"/>
  <c r="K35" i="2"/>
  <c r="L34" i="2"/>
  <c r="F32" i="1" s="1"/>
  <c r="K34" i="2"/>
  <c r="L33" i="2"/>
  <c r="M33" i="2" s="1"/>
  <c r="K33" i="2"/>
  <c r="M32" i="2"/>
  <c r="L32" i="2"/>
  <c r="K32" i="2"/>
  <c r="M31" i="2"/>
  <c r="L31" i="2"/>
  <c r="K31" i="2"/>
  <c r="L30" i="2"/>
  <c r="M30" i="2" s="1"/>
  <c r="K30" i="2"/>
  <c r="M29" i="2"/>
  <c r="L29" i="2"/>
  <c r="K29" i="2"/>
  <c r="M28" i="2"/>
  <c r="L28" i="2"/>
  <c r="K28" i="2"/>
  <c r="L27" i="2"/>
  <c r="M27" i="2" s="1"/>
  <c r="K27" i="2"/>
  <c r="L26" i="2"/>
  <c r="M26" i="2" s="1"/>
  <c r="K26" i="2"/>
  <c r="L25" i="2"/>
  <c r="M25" i="2" s="1"/>
  <c r="K25" i="2"/>
  <c r="L24" i="2"/>
  <c r="M24" i="2" s="1"/>
  <c r="F10" i="3" s="1"/>
  <c r="K24" i="2"/>
  <c r="L23" i="2"/>
  <c r="M23" i="2" s="1"/>
  <c r="F9" i="3" s="1"/>
  <c r="K23" i="2"/>
  <c r="L22" i="2"/>
  <c r="M22" i="2" s="1"/>
  <c r="F8" i="3" s="1"/>
  <c r="K22" i="2"/>
  <c r="L21" i="2"/>
  <c r="M21" i="2" s="1"/>
  <c r="F7" i="3" s="1"/>
  <c r="K21" i="2"/>
  <c r="L20" i="2"/>
  <c r="E6" i="3" s="1"/>
  <c r="K20" i="2"/>
  <c r="L19" i="2"/>
  <c r="F29" i="1" s="1"/>
  <c r="K19" i="2"/>
  <c r="M18" i="2"/>
  <c r="F14" i="3" s="1"/>
  <c r="L18" i="2"/>
  <c r="E14" i="3" s="1"/>
  <c r="K18" i="2"/>
  <c r="M17" i="2"/>
  <c r="L17" i="2"/>
  <c r="K17" i="2"/>
  <c r="L16" i="2"/>
  <c r="F28" i="1" s="1"/>
  <c r="K16" i="2"/>
  <c r="M15" i="2"/>
  <c r="L15" i="2"/>
  <c r="K15" i="2"/>
  <c r="M14" i="2"/>
  <c r="F12" i="3" s="1"/>
  <c r="L14" i="2"/>
  <c r="K14" i="2"/>
  <c r="L13" i="2"/>
  <c r="M13" i="2" s="1"/>
  <c r="K13" i="2"/>
  <c r="L12" i="2"/>
  <c r="M12" i="2" s="1"/>
  <c r="K12" i="2"/>
  <c r="L11" i="2"/>
  <c r="E15" i="3" s="1"/>
  <c r="K11" i="2"/>
  <c r="L10" i="2"/>
  <c r="M10" i="2" s="1"/>
  <c r="K10" i="2"/>
  <c r="L9" i="2"/>
  <c r="M9" i="2" s="1"/>
  <c r="K9" i="2"/>
  <c r="L8" i="2"/>
  <c r="M8" i="2" s="1"/>
  <c r="F16" i="3" s="1"/>
  <c r="K8" i="2"/>
  <c r="L7" i="2"/>
  <c r="M7" i="2" s="1"/>
  <c r="K7" i="2"/>
  <c r="L6" i="2"/>
  <c r="M6" i="2" s="1"/>
  <c r="K6" i="2"/>
  <c r="L5" i="2"/>
  <c r="F26" i="1" s="1"/>
  <c r="K5" i="2"/>
  <c r="B41" i="1"/>
  <c r="B40" i="1"/>
  <c r="B39" i="1"/>
  <c r="B38" i="1"/>
  <c r="E34" i="1"/>
  <c r="D34" i="1"/>
  <c r="C34" i="1"/>
  <c r="B34" i="1"/>
  <c r="F33" i="1"/>
  <c r="E33" i="1"/>
  <c r="D33" i="1"/>
  <c r="C33" i="1"/>
  <c r="B33" i="1"/>
  <c r="E32" i="1"/>
  <c r="D32" i="1"/>
  <c r="C32" i="1"/>
  <c r="B32" i="1"/>
  <c r="E31" i="1"/>
  <c r="D31" i="1"/>
  <c r="C31" i="1"/>
  <c r="B31" i="1"/>
  <c r="E30" i="1"/>
  <c r="D30" i="1"/>
  <c r="C30" i="1"/>
  <c r="B30" i="1"/>
  <c r="E29" i="1"/>
  <c r="D29" i="1"/>
  <c r="C29" i="1"/>
  <c r="B29" i="1"/>
  <c r="E28" i="1"/>
  <c r="D28" i="1"/>
  <c r="C28" i="1"/>
  <c r="B28" i="1"/>
  <c r="F27" i="1"/>
  <c r="E27" i="1"/>
  <c r="D27" i="1"/>
  <c r="C27" i="1"/>
  <c r="B27" i="1"/>
  <c r="E26" i="1"/>
  <c r="D26" i="1"/>
  <c r="C26" i="1"/>
  <c r="B26" i="1"/>
  <c r="B14" i="1"/>
  <c r="B13" i="1"/>
  <c r="B12" i="1"/>
  <c r="B11" i="1"/>
  <c r="B9" i="1"/>
  <c r="B8" i="1"/>
  <c r="B7" i="1"/>
  <c r="B6" i="1"/>
  <c r="M16" i="2" l="1"/>
  <c r="F13" i="3" s="1"/>
  <c r="E13" i="3"/>
  <c r="E16" i="3"/>
  <c r="M19" i="2"/>
  <c r="F5" i="3" s="1"/>
  <c r="M20" i="2"/>
  <c r="F6" i="3" s="1"/>
  <c r="M34" i="2"/>
  <c r="B10" i="1"/>
  <c r="F34" i="1"/>
  <c r="E5" i="3"/>
  <c r="F31" i="1"/>
  <c r="E8" i="3"/>
  <c r="E17" i="3"/>
  <c r="M5" i="2"/>
  <c r="F30" i="1"/>
  <c r="M11" i="2"/>
  <c r="F15" i="3" s="1"/>
  <c r="E10" i="3"/>
  <c r="B19" i="1" l="1"/>
  <c r="C19" i="1" s="1"/>
  <c r="B18" i="1"/>
  <c r="B21" i="1"/>
  <c r="C21" i="1" s="1"/>
  <c r="B20" i="1"/>
  <c r="C20" i="1" s="1"/>
  <c r="C18" i="1" l="1"/>
  <c r="C22" i="1" s="1"/>
  <c r="B22" i="1"/>
</calcChain>
</file>

<file path=xl/sharedStrings.xml><?xml version="1.0" encoding="utf-8"?>
<sst xmlns="http://schemas.openxmlformats.org/spreadsheetml/2006/main" count="609" uniqueCount="436">
  <si>
    <t>Compliance Mapping Summary: ISO 27001 · NIST CSF 2.0 · DPDP Act</t>
  </si>
  <si>
    <t>All figures are formulas over Mapping_Matrix and Gap_Register. Change scores or thresholds and this sheet updates.</t>
  </si>
  <si>
    <t>Headline metrics</t>
  </si>
  <si>
    <t>Metric</t>
  </si>
  <si>
    <t>Value</t>
  </si>
  <si>
    <t>Requirements mapped</t>
  </si>
  <si>
    <t>Avg ISO↔NIST alignment (0-3)</t>
  </si>
  <si>
    <t>Avg ISO↔DPDP alignment (0-3)</t>
  </si>
  <si>
    <t>Avg NIST↔DPDP alignment (0-3)</t>
  </si>
  <si>
    <t>Avg DPDP coverage via ISO+NIST</t>
  </si>
  <si>
    <t>Privacy-specific requirements</t>
  </si>
  <si>
    <t>Privacy-specific with ISO↔DPDP and NIST↔DPDP both ≤1</t>
  </si>
  <si>
    <t>Open gaps in Gap_Register</t>
  </si>
  <si>
    <t>Critical-priority requirements</t>
  </si>
  <si>
    <t>Coverage status distribution (DPDP coverage via ISO+NIST)</t>
  </si>
  <si>
    <t>Status</t>
  </si>
  <si>
    <t>Count</t>
  </si>
  <si>
    <t>% of total</t>
  </si>
  <si>
    <t>Strong overlap</t>
  </si>
  <si>
    <t>Partial overlap</t>
  </si>
  <si>
    <t>Weak / indirect</t>
  </si>
  <si>
    <t>Gap</t>
  </si>
  <si>
    <t>Total</t>
  </si>
  <si>
    <t>Alignment by theme (average scores, 0-3)</t>
  </si>
  <si>
    <t>Theme</t>
  </si>
  <si>
    <t>Requirements</t>
  </si>
  <si>
    <t>ISO↔NIST</t>
  </si>
  <si>
    <t>ISO↔DPDP</t>
  </si>
  <si>
    <t>NIST↔DPDP</t>
  </si>
  <si>
    <t>DPDP coverage</t>
  </si>
  <si>
    <t>Governance &amp; Accountability</t>
  </si>
  <si>
    <t>Risk &amp; Assurance</t>
  </si>
  <si>
    <t>Asset &amp; Data Management</t>
  </si>
  <si>
    <t>Consent &amp; Notice</t>
  </si>
  <si>
    <t>Data Principal Rights</t>
  </si>
  <si>
    <t>Security Safeguards</t>
  </si>
  <si>
    <t>People &amp; Physical</t>
  </si>
  <si>
    <t>Incident &amp; Breach</t>
  </si>
  <si>
    <t>Supplier &amp; Transfers</t>
  </si>
  <si>
    <t>Priority counts (all requirements)</t>
  </si>
  <si>
    <t>Priority</t>
  </si>
  <si>
    <t>Critical</t>
  </si>
  <si>
    <t>High</t>
  </si>
  <si>
    <t>Medium</t>
  </si>
  <si>
    <t>Low</t>
  </si>
  <si>
    <t>Compliance Mapping Matrix: ISO/IEC 27001:2022 vs NIST CSF 2.0 vs India DPDP Act 2023 / Rules 2025</t>
  </si>
  <si>
    <t>Scores 0-3 (see Legend). Blue = input scores; black = formulas. Status is driven by thresholds on the Legend sheet. Scores are judgement-based; validate before audit use.</t>
  </si>
  <si>
    <t>ID</t>
  </si>
  <si>
    <t>Requirement type</t>
  </si>
  <si>
    <t>Requirement / control objective</t>
  </si>
  <si>
    <t>ISO/IEC 27001:2022</t>
  </si>
  <si>
    <t>NIST CSF 2.0</t>
  </si>
  <si>
    <t>DPDP Act 2023 / Rules 2025</t>
  </si>
  <si>
    <t>ISO↔NIST (0-3)</t>
  </si>
  <si>
    <t>ISO↔DPDP (0-3)</t>
  </si>
  <si>
    <t>NIST↔DPDP (0-3)</t>
  </si>
  <si>
    <t>Avg alignment (all pairs)</t>
  </si>
  <si>
    <t>DPDP coverage via ISO+NIST</t>
  </si>
  <si>
    <t>Overlap / gap analysis</t>
  </si>
  <si>
    <t>Recommended action</t>
  </si>
  <si>
    <t>GOV-01</t>
  </si>
  <si>
    <t>Governance</t>
  </si>
  <si>
    <t>Leadership accountability and ownership of the programme</t>
  </si>
  <si>
    <t>Cl. 5.1, 5.3; A.5.2, A.5.4</t>
  </si>
  <si>
    <t>GV.RR-01, GV.RR-02, GV.OC-01</t>
  </si>
  <si>
    <t>S.8(1) (fiduciary responsible, incl. for processors); S.10 (SDF)</t>
  </si>
  <si>
    <t>ISO and NIST both assign management responsibility. DPDP adds direct statutory liability on the Data Fiduciary (penalties up to INR 250 cr under the Schedule), which neither framework models.</t>
  </si>
  <si>
    <t>Extend ISMS roles into a privacy RACI naming the Data Fiduciary owner; add DPDP status to board reporting.</t>
  </si>
  <si>
    <t>GOV-02</t>
  </si>
  <si>
    <t>Policies (security, privacy, retention)</t>
  </si>
  <si>
    <t>Cl. 5.2; A.5.1</t>
  </si>
  <si>
    <t>GV.PO-01, GV.PO-02</t>
  </si>
  <si>
    <t>S.5 and Rule 3 (notice); S.8(1)</t>
  </si>
  <si>
    <t>Policy sets in ISO/NIST are security-centric. DPDP additionally needs an external-facing notice and internal privacy and retention policies.</t>
  </si>
  <si>
    <t>Add privacy, retention and consent policies to the ISMS policy set; align with the notice content required by Rule 3.</t>
  </si>
  <si>
    <t>GOV-03</t>
  </si>
  <si>
    <t>Legal and regulatory obligations register</t>
  </si>
  <si>
    <t>Cl. 4.2; A.5.31, A.5.36</t>
  </si>
  <si>
    <t>GV.OC-03</t>
  </si>
  <si>
    <t>S.3 (applicability, extraterritorial reach); S.17 (exemptions)</t>
  </si>
  <si>
    <t>Direct overlap: all three expect obligations to be identified. Action is to add the DPDP Act and Rules (and sector rules) to the register and determine applicability and exemptions.</t>
  </si>
  <si>
    <t>Add DPDP Act, Rules 2025 and sector rules (e.g. RBI, SEBI, IRDAI) to the register; record applicability decision.</t>
  </si>
  <si>
    <t>GOV-04</t>
  </si>
  <si>
    <t>Privacy-specific</t>
  </si>
  <si>
    <t>Privacy role: DPO or designated contact point</t>
  </si>
  <si>
    <t>A.5.2, A.5.4 (no DPO role in ISO 27001)</t>
  </si>
  <si>
    <t>GV.RR-02</t>
  </si>
  <si>
    <t>S.8(9) and Rule 9 (publish contact); S.10(2)(a) (India-based DPO for SDF)</t>
  </si>
  <si>
    <t>GAP: neither framework requires a privacy officer or a published contact for Data Principals. SDFs must appoint a DPO based in India who reports to the board or equivalent.</t>
  </si>
  <si>
    <t>Appoint a DPO or contact person; publish contact details; assess SDF likelihood; ensure India residency if SDF.</t>
  </si>
  <si>
    <t>GOV-05</t>
  </si>
  <si>
    <t>Ability to demonstrate compliance and keep records</t>
  </si>
  <si>
    <t>Cl. 7.5, 9.1</t>
  </si>
  <si>
    <t>GV.OV-03, GV.PO-01</t>
  </si>
  <si>
    <t>S.8(1), S.8(4)</t>
  </si>
  <si>
    <t>ISO documented information and NIST oversight outcomes support evidence, but DPDP expects fiduciaries to show effective observance to the Board on inquiry.</t>
  </si>
  <si>
    <t>Build a DPDP evidence pack (consent logs, notices served, safeguard evidence, contracts) inside the ISMS document system.</t>
  </si>
  <si>
    <t>RSK-01</t>
  </si>
  <si>
    <t>Risk assessment and treatment</t>
  </si>
  <si>
    <t>Cl. 6.1.2, 6.1.3, 8.2, 8.3</t>
  </si>
  <si>
    <t>GV.RM-01 to GV.RM-04; ID.RA-04, ID.RA-05, ID.RA-06</t>
  </si>
  <si>
    <t>S.8(5); S.10(2)(c)</t>
  </si>
  <si>
    <t>ISO/NIST assess risk to the organisation; DPDP is concerned with harm to Data Principals and regulatory exposure. Method overlaps, criteria differ.</t>
  </si>
  <si>
    <t>Add privacy-harm criteria (impact on individuals, volume, children) to the risk methodology.</t>
  </si>
  <si>
    <t>RSK-02</t>
  </si>
  <si>
    <t>Data Protection Impact Assessment and algorithmic due diligence (SDF)</t>
  </si>
  <si>
    <t>Cl. 6.1.2 (partial); A.5.34</t>
  </si>
  <si>
    <t>ID.RA-04, ID.RA-05 (partial)</t>
  </si>
  <si>
    <t>S.10(2)(c); Rule 13 (periodic DPIA, audit, algorithmic software checks)</t>
  </si>
  <si>
    <t>GAP for SDFs: no DPIA method in ISO 27001 (ISO/IEC 27701 covers it) or CSF. Rule 13 also requires due diligence on algorithmic software used for personal data.</t>
  </si>
  <si>
    <t>Create a DPIA template and annual cycle; add algorithmic-software review to change management.</t>
  </si>
  <si>
    <t>RSK-03</t>
  </si>
  <si>
    <t>Independent audit and management review</t>
  </si>
  <si>
    <t>Cl. 9.2, 9.3; A.5.35, A.5.36</t>
  </si>
  <si>
    <t>GV.OV-01 to GV.OV-03; ID.IM-02</t>
  </si>
  <si>
    <t>S.10(2)(b) (independent data auditor, SDF); Rule 13</t>
  </si>
  <si>
    <t>Internal and management review overlaps well; DPDP requires an independent data auditor for SDFs and a defined audit scope covering the Act.</t>
  </si>
  <si>
    <t>Add DPDP scope to internal audit programme; pre-qualify an independent data auditor.</t>
  </si>
  <si>
    <t>RSK-04</t>
  </si>
  <si>
    <t>Continual improvement and corrective action</t>
  </si>
  <si>
    <t>Cl. 10.1, 10.2</t>
  </si>
  <si>
    <t>ID.IM-01 to ID.IM-04</t>
  </si>
  <si>
    <t>S.8(4) (indirect)</t>
  </si>
  <si>
    <t>Good process overlap; DPDP has no explicit improvement clause but expects measures to remain effective.</t>
  </si>
  <si>
    <t>Feed Board directions, complaints and DPIA findings into the ISMS corrective-action log.</t>
  </si>
  <si>
    <t>AST-01</t>
  </si>
  <si>
    <t>Inventory of assets and personal data (data map)</t>
  </si>
  <si>
    <t>A.5.9, A.5.10, A.5.11</t>
  </si>
  <si>
    <t>ID.AM-01, ID.AM-02, ID.AM-03, ID.AM-07</t>
  </si>
  <si>
    <t>Implicit in S.8 and S.11 (right to summary of data and processors)</t>
  </si>
  <si>
    <t>ISO/NIST inventory assets and data generally. DPDP has no record-of-processing requirement, but notices, rights and erasure are unworkable without a purpose-level personal data map.</t>
  </si>
  <si>
    <t>Extend the asset register with personal-data fields: purpose, legal ground, processor, retention, location.</t>
  </si>
  <si>
    <t>AST-02</t>
  </si>
  <si>
    <t>Information classification and labelling</t>
  </si>
  <si>
    <t>A.5.12, A.5.13</t>
  </si>
  <si>
    <t>ID.AM-05; PR.DS-01</t>
  </si>
  <si>
    <t>No equivalent (single category of personal data); sensitivity only relevant to SDF designation, S.10(1)</t>
  </si>
  <si>
    <t>DPDP has no 'sensitive personal data' tier, so existing classification schemes do not map one-to-one. Add a 'personal data' label and children's-data flag.</t>
  </si>
  <si>
    <t>Add personal-data and children's-data tags to the classification scheme.</t>
  </si>
  <si>
    <t>AST-03</t>
  </si>
  <si>
    <t>Data minimisation and purpose limitation</t>
  </si>
  <si>
    <t>A.5.34, A.8.11 (masking)</t>
  </si>
  <si>
    <t>No direct outcome</t>
  </si>
  <si>
    <t>S.4, S.6(1) (consent limited to specified purpose)</t>
  </si>
  <si>
    <t>GAP: CSF has no purpose-limitation outcome; ISO 27001 only points to PII protection generally.</t>
  </si>
  <si>
    <t>Embed purpose and necessity checks in project intake and system design (privacy by design).</t>
  </si>
  <si>
    <t>AST-04</t>
  </si>
  <si>
    <t>Accuracy and completeness of personal data</t>
  </si>
  <si>
    <t>A.5.34 (indirect); integrity controls A.8.3, A.8.24</t>
  </si>
  <si>
    <t>PR.DS-01, PR.DS-02 (integrity)</t>
  </si>
  <si>
    <t>S.8(3)</t>
  </si>
  <si>
    <t>Security integrity controls protect against tampering but do not address data quality where data drives decisions or is disclosed.</t>
  </si>
  <si>
    <t>Define data-quality checks for records used in decisions or shared with other fiduciaries.</t>
  </si>
  <si>
    <t>AST-05</t>
  </si>
  <si>
    <t>Retention and erasure</t>
  </si>
  <si>
    <t>A.8.10, A.5.33</t>
  </si>
  <si>
    <t>ID.AM-08 (life-cycle, indirect)</t>
  </si>
  <si>
    <t>S.8(7); Rule 8 (erasure on withdrawal or purpose end; advance notice; specified retention)</t>
  </si>
  <si>
    <t>ISO A.8.10 provides deletion mechanics but no trigger logic. DPDP couples erasure to consent withdrawal and purpose end, with a minimum retention for specified logs that can conflict with erasure.</t>
  </si>
  <si>
    <t>Build retention schedule and erasure workflow; reconcile with the log-retention minimum.</t>
  </si>
  <si>
    <t>CON-01</t>
  </si>
  <si>
    <t>Notice to Data Principals</t>
  </si>
  <si>
    <t>A.5.34 (generic); not covered in ISO 27001 (see ISO/IEC 27701 cl. 7.3)</t>
  </si>
  <si>
    <t>No outcome</t>
  </si>
  <si>
    <t>S.5; Rule 3 (standalone, itemised notice)</t>
  </si>
  <si>
    <t>GAP: entirely outside ISO 27001 and CSF scope. Notice must be standalone, itemised and state purposes and rights.</t>
  </si>
  <si>
    <t>Draft standalone notices per purpose; version and log delivery.</t>
  </si>
  <si>
    <t>CON-02</t>
  </si>
  <si>
    <t>Consent capture, withdrawal, legitimate uses and Consent Managers</t>
  </si>
  <si>
    <t>Not covered</t>
  </si>
  <si>
    <t>S.6, S.7; Rule 4 (Consent Manager registration)</t>
  </si>
  <si>
    <t>GAP: consent lifecycle is a legal construct absent from both frameworks. Consent Manager provisions commence roughly 12 months after notification (about Nov 2026).</t>
  </si>
  <si>
    <t>Implement a consent platform: purpose-wise capture, withdrawal parity, audit log, Consent Manager interoperability.</t>
  </si>
  <si>
    <t>CON-03</t>
  </si>
  <si>
    <t>Children's data and persons with disabilities</t>
  </si>
  <si>
    <t>S.9; Rules 10-12 (verifiable parental consent; no tracking, behavioural monitoring or targeted ads to children)</t>
  </si>
  <si>
    <t>GAP: no coverage in either framework; separate penalty band of INR 200 cr.</t>
  </si>
  <si>
    <t>Age-gating and verifiable parental consent flow; block behavioural tracking and targeted ads for under-18s.</t>
  </si>
  <si>
    <t>RTS-01</t>
  </si>
  <si>
    <t>Right to information about personal data</t>
  </si>
  <si>
    <t>A.5.34 (generic)</t>
  </si>
  <si>
    <t>S.11; Rule 14</t>
  </si>
  <si>
    <t>GAP: neither framework has a data-subject request process; needs a data map (AST-01) to answer what is held and with whom.</t>
  </si>
  <si>
    <t>Set up a DSR intake and fulfilment workflow with identity verification and SLAs.</t>
  </si>
  <si>
    <t>RTS-02</t>
  </si>
  <si>
    <t>Right to correction and erasure</t>
  </si>
  <si>
    <t>A.8.10</t>
  </si>
  <si>
    <t>ID.AM-08 (indirect)</t>
  </si>
  <si>
    <t>S.12; Rule 14</t>
  </si>
  <si>
    <t>Partial: deletion tooling exists under ISO A.8.10, but request handling, downstream propagation to processors and correction are not covered.</t>
  </si>
  <si>
    <t>Extend DSR workflow to correction and erasure, including processor propagation.</t>
  </si>
  <si>
    <t>RTS-03</t>
  </si>
  <si>
    <t>Grievance redressal and right to nominate</t>
  </si>
  <si>
    <t>Not covered (Cl. 10.2 nonconformity only)</t>
  </si>
  <si>
    <t>S.8(10), S.13, S.14; Rule 14</t>
  </si>
  <si>
    <t>GAP: a Data Principal must exhaust the fiduciary's grievance process before approaching the Board (S.13). The Rules set a maximum response period; confirm current value in the Gazette text.</t>
  </si>
  <si>
    <t>Publish a grievance channel, track to closure, and support nomination of another person.</t>
  </si>
  <si>
    <t>SEC-01</t>
  </si>
  <si>
    <t>Security</t>
  </si>
  <si>
    <t>Reasonable security safeguards (umbrella duty)</t>
  </si>
  <si>
    <t>Cl. 6.1.3; Annex A (A.5 to A.8)</t>
  </si>
  <si>
    <t>PR.AA, PR.DS, PR.PS, PR.IR; ID.RA</t>
  </si>
  <si>
    <t>S.8(5); Rule 6</t>
  </si>
  <si>
    <t>Strongest overlap. Rule 6 lists minimum safeguards that map closely to Annex A and CSF Protect. An ISO 27001 certificate is good evidence but does not by itself prove DPDP compliance.</t>
  </si>
  <si>
    <t>Produce a Rule 6 crosswalk in the Statement of Applicability; close any A.8.x exclusions.</t>
  </si>
  <si>
    <t>SEC-02</t>
  </si>
  <si>
    <t>Access control and identity management</t>
  </si>
  <si>
    <t>A.5.15 to A.5.18, A.8.2, A.8.3, A.8.5</t>
  </si>
  <si>
    <t>PR.AA-01 to PR.AA-05</t>
  </si>
  <si>
    <t>Rule 6(1)(b)</t>
  </si>
  <si>
    <t>Direct overlap; Rule 6 requires measures to control access to computer resources.</t>
  </si>
  <si>
    <t>Confirm least privilege and MFA on systems holding personal data; retain access-review evidence.</t>
  </si>
  <si>
    <t>SEC-03</t>
  </si>
  <si>
    <t>Encryption, masking, obfuscation, virtual tokens</t>
  </si>
  <si>
    <t>A.8.24, A.8.11, A.8.12</t>
  </si>
  <si>
    <t>PR.DS-01, PR.DS-02</t>
  </si>
  <si>
    <t>Rule 6(1)(a)</t>
  </si>
  <si>
    <t>Rule 6 names encryption, obfuscation, masking and virtual tokens explicitly; ISO A.8.24 and A.8.11 align, but A.8.24 is policy-driven and can be scoped out.</t>
  </si>
  <si>
    <t>Encrypt personal data at rest and in transit; apply masking in non-production.</t>
  </si>
  <si>
    <t>SEC-04</t>
  </si>
  <si>
    <t>Logging, monitoring and log retention</t>
  </si>
  <si>
    <t>A.8.15, A.8.16, A.8.17</t>
  </si>
  <si>
    <t>DE.CM-01, DE.CM-02, DE.CM-03, DE.CM-06, DE.CM-09; DE.AE-02, DE.AE-03</t>
  </si>
  <si>
    <t>Rule 6(1)(c), 6(1)(e) (monitoring; retention of logs and data for a specified minimum period)</t>
  </si>
  <si>
    <t>Overlap on monitoring. Gap in prescription: DPDP fixes a minimum log retention period (one year) whereas ISO/CSF leave duration to risk assessment.</t>
  </si>
  <si>
    <t>Set log retention to at least the Rule 6 minimum; protect logs (A.8.15) and reconcile with privacy retention limits.</t>
  </si>
  <si>
    <t>SEC-05</t>
  </si>
  <si>
    <t>Backups and continuity of processing</t>
  </si>
  <si>
    <t>A.8.13, A.8.14, A.5.29, A.5.30</t>
  </si>
  <si>
    <t>PR.DS-11, PR.IR-03, RC.RP-01 to RC.RP-03</t>
  </si>
  <si>
    <t>Rule 6(1)(d)</t>
  </si>
  <si>
    <t>Direct overlap: Rule 6 requires measures to keep processing running after a confidentiality, integrity or availability compromise, including backups.</t>
  </si>
  <si>
    <t>Test restores for systems holding personal data; document RTO and RPO.</t>
  </si>
  <si>
    <t>SEC-06</t>
  </si>
  <si>
    <t>Vulnerability and patch management</t>
  </si>
  <si>
    <t>A.8.8, A.8.9, A.8.19</t>
  </si>
  <si>
    <t>ID.RA-01; PR.PS-01, PR.PS-02</t>
  </si>
  <si>
    <t>S.8(5) (implied)</t>
  </si>
  <si>
    <t>Not named in Rule 6 but expected under 'reasonable' safeguards; overlap is implicit.</t>
  </si>
  <si>
    <t>Retain scan and patch evidence for personal-data systems as proof of reasonableness.</t>
  </si>
  <si>
    <t>SEC-07</t>
  </si>
  <si>
    <t>Network security and secure engineering</t>
  </si>
  <si>
    <t>A.8.20 to A.8.23, A.8.25 to A.8.29</t>
  </si>
  <si>
    <t>PR.IR-01; PR.PS-06</t>
  </si>
  <si>
    <t>Implicit under 'reasonable' safeguards. Privacy-by-design is not required by DPDP but reduces breach and consent risk.</t>
  </si>
  <si>
    <t>Add privacy requirements to secure-SDLC gates.</t>
  </si>
  <si>
    <t>SEC-08</t>
  </si>
  <si>
    <t>Threat intelligence</t>
  </si>
  <si>
    <t>A.5.7</t>
  </si>
  <si>
    <t>ID.RA-02, ID.RA-03</t>
  </si>
  <si>
    <t>S.8(5) (indirect)</t>
  </si>
  <si>
    <t>Good ISO/NIST overlap; DPDP does not require it.</t>
  </si>
  <si>
    <t>Optional: prioritise intelligence relevant to personal-data stores.</t>
  </si>
  <si>
    <t>SEC-09</t>
  </si>
  <si>
    <t>Physical and environmental security</t>
  </si>
  <si>
    <t>A.7.1 to A.7.14</t>
  </si>
  <si>
    <t>PR.AA-06, PR.IR-02</t>
  </si>
  <si>
    <t>Strong ISO/NIST overlap; DPDP and Rule 6 do not list physical controls but breach via physical loss is still a personal data breach.</t>
  </si>
  <si>
    <t>Keep physical controls in scope for paper-to-digital and on-premise data stores.</t>
  </si>
  <si>
    <t>PPL-01</t>
  </si>
  <si>
    <t>Awareness and training</t>
  </si>
  <si>
    <t>Cl. 7.3; A.6.3</t>
  </si>
  <si>
    <t>PR.AT-01, PR.AT-02</t>
  </si>
  <si>
    <t>S.8(4) (organisational measures)</t>
  </si>
  <si>
    <t>Overlap on security awareness; DPDP training needs (consent, rights requests, children's data) are additive.</t>
  </si>
  <si>
    <t>Add DPDP modules for customer-facing and product teams.</t>
  </si>
  <si>
    <t>PPL-02</t>
  </si>
  <si>
    <t>Screening, terms of employment, confidentiality</t>
  </si>
  <si>
    <t>A.6.1, A.6.2, A.6.6</t>
  </si>
  <si>
    <t>GV.RR-04</t>
  </si>
  <si>
    <t>Supports 'organisational measures' but is not specified in DPDP.</t>
  </si>
  <si>
    <t>Add personal-data handling clauses to employment and NDA templates.</t>
  </si>
  <si>
    <t>INC-01</t>
  </si>
  <si>
    <t>Incident management and response</t>
  </si>
  <si>
    <t>A.5.24 to A.5.28, A.6.8</t>
  </si>
  <si>
    <t>RS.MA-01 to RS.MA-05; RS.AN-03; RS.MI-01, RS.MI-02; DE.AE-04 to DE.AE-08</t>
  </si>
  <si>
    <t>S.8(6)</t>
  </si>
  <si>
    <t>Process overlap is strong. The Act treats any personal data breach as a trigger; ISO/CSF classify by severity.</t>
  </si>
  <si>
    <t>Add a 'personal data breach' classification with no severity floor to the IR playbook.</t>
  </si>
  <si>
    <t>INC-02</t>
  </si>
  <si>
    <t>Breach notification to Board and each affected Data Principal</t>
  </si>
  <si>
    <t>A.5.5, A.5.6, A.5.26</t>
  </si>
  <si>
    <t>RS.CO-02, RS.CO-03</t>
  </si>
  <si>
    <t>S.8(6); Rule 7 (without delay to individuals; to the Board without delay, with detailed report within 72 hours)</t>
  </si>
  <si>
    <t>GAP: ISO/CSF cover communication but set no regulatory clock and do not require notifying individuals. The Act has no harm threshold. Separate INR 200 cr penalty band.</t>
  </si>
  <si>
    <t>Add DPB notification workflow, individual notification templates and 72-hour detailed-report tracker to IR plan.</t>
  </si>
  <si>
    <t>SUP-01</t>
  </si>
  <si>
    <t>Processor and supplier management</t>
  </si>
  <si>
    <t>A.5.19 to A.5.23</t>
  </si>
  <si>
    <t>GV.SC-01 to GV.SC-10</t>
  </si>
  <si>
    <t>S.8(1), S.8(2); Rule 6(1)(f) (contract must require safeguards)</t>
  </si>
  <si>
    <t>Overlap on due diligence and contracts. The fiduciary stays liable for processor conduct, so contracts need breach-notice and erasure-assistance clauses beyond security terms.</t>
  </si>
  <si>
    <t>Update processor contracts: safeguards, breach notice, erasure and DSR support, sub-processor controls.</t>
  </si>
  <si>
    <t>SUP-02</t>
  </si>
  <si>
    <t>Cross-border transfers</t>
  </si>
  <si>
    <t>A.5.14, A.5.19 to A.5.23 (indirect)</t>
  </si>
  <si>
    <t>GV.SC (indirect)</t>
  </si>
  <si>
    <t>S.16; Rule 15; Rule 13 (data localisation for specified SDF data)</t>
  </si>
  <si>
    <t>GAP: DPDP uses a restricted-country model rather than blanket localisation, but Central Government may restrict countries, SDFs may face localisation, and stricter sector laws continue to apply (S.16(2)).</t>
  </si>
  <si>
    <t>Map cross-border flows; monitor notified restrictions; check sector regulator localisation rules.</t>
  </si>
  <si>
    <t>Gap Register: where ISO 27001 / NIST CSF alignment does not satisfy DPDP</t>
  </si>
  <si>
    <t>Requirement, DPDP provision, coverage and priority are pulled from Mapping_Matrix by ID (green = cross-sheet lookup). Other columns are inputs.</t>
  </si>
  <si>
    <t>Gap ID</t>
  </si>
  <si>
    <t>Matrix ID</t>
  </si>
  <si>
    <t>Requirement</t>
  </si>
  <si>
    <t>DPDP provision</t>
  </si>
  <si>
    <t>Gap type</t>
  </si>
  <si>
    <t>Gap description</t>
  </si>
  <si>
    <t>Remediation</t>
  </si>
  <si>
    <t>Suggested owner</t>
  </si>
  <si>
    <t>Effort</t>
  </si>
  <si>
    <t>Target / enforcement date</t>
  </si>
  <si>
    <t>GAP-01</t>
  </si>
  <si>
    <t>Missing control</t>
  </si>
  <si>
    <t>No standalone, itemised notice process</t>
  </si>
  <si>
    <t>Design notice templates per purpose; version control; proof of delivery</t>
  </si>
  <si>
    <t>Legal / DPO</t>
  </si>
  <si>
    <t>13 May 2027</t>
  </si>
  <si>
    <t>GAP-02</t>
  </si>
  <si>
    <t>No purpose-wise consent capture, withdrawal or Consent Manager integration</t>
  </si>
  <si>
    <t>Deploy consent management platform; integrate with Consent Manager APIs</t>
  </si>
  <si>
    <t>Product / IT</t>
  </si>
  <si>
    <t>Consent Manager provisions ~Nov 2026; rest 13 May 2027</t>
  </si>
  <si>
    <t>GAP-03</t>
  </si>
  <si>
    <t>No age-gating or verifiable parental consent; behavioural tracking not blocked for minors</t>
  </si>
  <si>
    <t>Age assurance flow; disable tracking and targeted ads for under-18s</t>
  </si>
  <si>
    <t>Product / Legal</t>
  </si>
  <si>
    <t>GAP-04</t>
  </si>
  <si>
    <t>No process to tell Data Principals what data and which processors are involved</t>
  </si>
  <si>
    <t>DSR portal with identity verification; link to data map</t>
  </si>
  <si>
    <t>Privacy Ops</t>
  </si>
  <si>
    <t>GAP-05</t>
  </si>
  <si>
    <t>Partial control</t>
  </si>
  <si>
    <t>Correction and erasure requests not propagated to processors</t>
  </si>
  <si>
    <t>Extend DSR workflow; add processor SLAs</t>
  </si>
  <si>
    <t>Privacy Ops / IT</t>
  </si>
  <si>
    <t>GAP-06</t>
  </si>
  <si>
    <t>No published grievance channel or nomination handling</t>
  </si>
  <si>
    <t>Grievance channel, ticketing and closure SLAs</t>
  </si>
  <si>
    <t>DPO</t>
  </si>
  <si>
    <t>GAP-07</t>
  </si>
  <si>
    <t>Prescriptive-detail gap</t>
  </si>
  <si>
    <t>IR plan lacks Board and individual notification steps and 72-hour detailed report</t>
  </si>
  <si>
    <t>Update IR plan, templates, decision log; run tabletop</t>
  </si>
  <si>
    <t>CISO / DPO</t>
  </si>
  <si>
    <t>GAP-08</t>
  </si>
  <si>
    <t>Scope gap</t>
  </si>
  <si>
    <t>Asset inventory lacks personal-data attributes</t>
  </si>
  <si>
    <t>Add purpose, legal ground, processor, retention, location fields</t>
  </si>
  <si>
    <t>IT / Privacy</t>
  </si>
  <si>
    <t>GAP-09</t>
  </si>
  <si>
    <t>No purpose limitation or minimisation checks in change and project intake</t>
  </si>
  <si>
    <t>Privacy-by-design checklist in SDLC and procurement</t>
  </si>
  <si>
    <t>Engineering / DPO</t>
  </si>
  <si>
    <t>GAP-10</t>
  </si>
  <si>
    <t>Retention triggers and erasure workflow not tied to consent withdrawal or purpose end</t>
  </si>
  <si>
    <t>Retention schedule; automated erasure; reconcile with log retention</t>
  </si>
  <si>
    <t>IT / Legal</t>
  </si>
  <si>
    <t>GAP-11</t>
  </si>
  <si>
    <t>No DPIA method or algorithmic due-diligence (relevant if SDF)</t>
  </si>
  <si>
    <t>DPIA template and annual cycle</t>
  </si>
  <si>
    <t>DPO / Risk</t>
  </si>
  <si>
    <t>GAP-12</t>
  </si>
  <si>
    <t>No DPO or published contact; India-residency requirement if SDF</t>
  </si>
  <si>
    <t>Appoint DPO; publish contact; SDF self-assessment</t>
  </si>
  <si>
    <t>Board / Legal</t>
  </si>
  <si>
    <t>GAP-13</t>
  </si>
  <si>
    <t>Legal-scope gap</t>
  </si>
  <si>
    <t>Cross-border flows and localisation duties not mapped</t>
  </si>
  <si>
    <t>Transfer map; watch notified country restrictions; check sector rules</t>
  </si>
  <si>
    <t>Legal / IT</t>
  </si>
  <si>
    <t>GAP-14</t>
  </si>
  <si>
    <t>Log retention not set to the Rule 6 minimum</t>
  </si>
  <si>
    <t>Set retention; secure log store</t>
  </si>
  <si>
    <t>SecOps</t>
  </si>
  <si>
    <t>Framework Overview</t>
  </si>
  <si>
    <t>Attribute</t>
  </si>
  <si>
    <t>India DPDP Act 2023 + Rules 2025</t>
  </si>
  <si>
    <t>Nature</t>
  </si>
  <si>
    <t>International certifiable management-system standard</t>
  </si>
  <si>
    <t>Voluntary, outcome-based cybersecurity framework</t>
  </si>
  <si>
    <t>National statute with subordinate Rules</t>
  </si>
  <si>
    <t>Issuer</t>
  </si>
  <si>
    <t>ISO/IEC</t>
  </si>
  <si>
    <t>US NIST (published Feb 2024; supersedes v1.1)</t>
  </si>
  <si>
    <t>Government of India (MeitY); enforced by Data Protection Board of India</t>
  </si>
  <si>
    <t>Structure</t>
  </si>
  <si>
    <t>ISMS clauses 4-10 plus Annex A: 93 controls in 4 themes (Organizational 37, People 8, Physical 14, Technological 34)</t>
  </si>
  <si>
    <t>6 Functions (Govern, Identify, Protect, Detect, Respond, Recover), 22 Categories, 106 Subcategories</t>
  </si>
  <si>
    <t>Act sections on notice, consent, fiduciary duties, rights, SDF duties, transfers, Board and penalties; Rules give operational detail</t>
  </si>
  <si>
    <t>Primary objective</t>
  </si>
  <si>
    <t>Protect confidentiality, integrity and availability of information via a managed ISMS</t>
  </si>
  <si>
    <t>Manage and communicate cybersecurity risk outcomes</t>
  </si>
  <si>
    <t>Protect digital personal data and rights of Data Principals; lawful processing</t>
  </si>
  <si>
    <t>Scope of protected asset</t>
  </si>
  <si>
    <t>All information assets in ISMS scope</t>
  </si>
  <si>
    <t>Organisation's technology and data assets</t>
  </si>
  <si>
    <t>Digital personal data (and digitised personal data) processed in India, or outside India when offering goods or services to persons in India</t>
  </si>
  <si>
    <t>Assurance / enforcement</t>
  </si>
  <si>
    <t>Third-party certification and surveillance audits</t>
  </si>
  <si>
    <t>Self-assessment; Profiles and Tiers; no certification</t>
  </si>
  <si>
    <t>Regulatory enforcement; penalties up to INR 250 crore per security-safeguard failure; no certification scheme</t>
  </si>
  <si>
    <t>Privacy coverage</t>
  </si>
  <si>
    <t>Minimal (A.5.34); privacy handled by ISO/IEC 27701 extension</t>
  </si>
  <si>
    <t>Limited (privacy risk touched in Govern/Identify)</t>
  </si>
  <si>
    <t>Core purpose</t>
  </si>
  <si>
    <t>Timing</t>
  </si>
  <si>
    <t>In force; 2013 certificates transitioned to 2022 by Oct 2025</t>
  </si>
  <si>
    <t>In force</t>
  </si>
  <si>
    <t>Board live since Nov 2025; Consent Managers ~Nov 2026; most duties ~12-13 May 2027</t>
  </si>
  <si>
    <t>Strength for mapping</t>
  </si>
  <si>
    <t>Detailed, auditable control set</t>
  </si>
  <si>
    <t>Common language for boards and regulators; adds Govern and supply chain</t>
  </si>
  <si>
    <t>Legally binding; defines minimum safeguards in Rule 6 and breach clock in Rule 7</t>
  </si>
  <si>
    <t>Limitation for mapping</t>
  </si>
  <si>
    <t>No privacy lifecycle, consent or rights</t>
  </si>
  <si>
    <t>No legal privacy obligations</t>
  </si>
  <si>
    <t>Silent on many technical controls beyond Rule 6; reasonableness judged case by case</t>
  </si>
  <si>
    <t>Legend, scoring scale and assumptions</t>
  </si>
  <si>
    <t>Score</t>
  </si>
  <si>
    <t>Meaning</t>
  </si>
  <si>
    <t>Strong: direct, near one-to-one alignment of intent and control</t>
  </si>
  <si>
    <t>Partial: same objective, but differs in scope, prescription or evidence expected (or requirement is only implied)</t>
  </si>
  <si>
    <t>Weak: indirect or generic reference only</t>
  </si>
  <si>
    <t>None: not addressed</t>
  </si>
  <si>
    <t>Status thresholds (editable inputs, applied to 'DPDP coverage via ISO+NIST' = average of ISO↔DPDP and NIST↔DPDP)</t>
  </si>
  <si>
    <t>Minimum coverage score</t>
  </si>
  <si>
    <t>Below the 'Weak / indirect' threshold</t>
  </si>
  <si>
    <t>Assumptions and limitations</t>
  </si>
  <si>
    <t>1. Scores are the author's professional-judgement assessments of alignment, not certified or regulator-endorsed equivalences. Validate with counsel and your auditor.</t>
  </si>
  <si>
    <t>2. ISO/IEC 27001:2022 references use the 2022 Annex A numbering (93 controls). NIST references use CSF 2.0 (Feb 2024) subcategory IDs, listed at representative level.</t>
  </si>
  <si>
    <t>3. DPDP references are to the Digital Personal Data Protection Act, 2023 and the DPDP Rules, 2025 (notified Nov 2025). Rule numbers and the exact figures (e.g. retention period, grievance period) should be checked against the Gazette text before being relied on.</t>
  </si>
  <si>
    <t>4. DPDP phasing (per public law-firm summaries): Data Protection Board provisions effective from notification (Nov 2025); Consent Manager provisions after ~12 months (about Nov 2026); remaining substantive obligations after ~18 months (about 12-13 May 2027; sources differ by a day).</t>
  </si>
  <si>
    <t>5. Privacy-specific rows (consent, notice, rights, children) have no counterpart in ISO 27001 or the CSF; ISO/IEC 27701 is the natural bridging standard and is out of scope of the three-way mapping here.</t>
  </si>
  <si>
    <t>6. Priority is a suggested remediation priority driven by penalty exposure and effort, not a legal ranking. Blue font = hardcoded input; black = formula; green = cross-sheet link.</t>
  </si>
  <si>
    <t>Sources: ISO/IEC 27001:2022; NIST CSF 2.0 (NIST, Feb 2024); DPDP Act 2023 and DPDP Rules 2025 (MeitY); public commentary on phasing (AZB &amp; Partners; Sansa Legal; Anand and Anand).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</si>
</sst>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Calibri"/>
      <family val="2"/>
      <charset val="1"/>
    </font>
    <font>
      <b/>
      <sz val="14"/>
      <name val="Arial"/>
      <charset val="1"/>
    </font>
    <font>
      <i/>
      <sz val="10"/>
      <name val="Arial"/>
      <charset val="1"/>
    </font>
    <font>
      <b/>
      <sz val="11"/>
      <name val="Arial"/>
      <charset val="1"/>
    </font>
    <font>
      <b/>
      <sz val="10"/>
      <color rgb="FFFFFFFF"/>
      <name val="Arial"/>
      <charset val="1"/>
    </font>
    <font>
      <sz val="10"/>
      <name val="Arial"/>
      <charset val="1"/>
    </font>
    <font>
      <b/>
      <sz val="10"/>
      <name val="Arial"/>
      <charset val="1"/>
    </font>
    <font>
      <sz val="10"/>
      <color rgb="FF0000FF"/>
      <name val="Arial"/>
      <charset val="1"/>
    </font>
    <font>
      <sz val="10"/>
      <color rgb="FF008000"/>
      <name val="Arial"/>
      <charset val="1"/>
    </font>
    <font>
      <sz val="11"/>
      <name val="Arial"/>
      <charset val="1"/>
    </font>
    <font>
      <b/>
      <sz val="12"/>
      <name val="Arial"/>
      <family val="2"/>
    </font>
  </fonts>
  <fills count="4">
    <fill>
      <patternFill patternType="none"/>
    </fill>
    <fill>
      <patternFill patternType="gray125"/>
    </fill>
    <fill>
      <patternFill patternType="solid">
        <fgColor rgb="FF1F3864"/>
        <bgColor rgb="FF333333"/>
      </patternFill>
    </fill>
    <fill>
      <patternFill patternType="solid">
        <fgColor rgb="FFD9E2F3"/>
        <bgColor rgb="FFD9D9D9"/>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1" fillId="0" borderId="0" xfId="0" applyFont="1"/>
    <xf numFmtId="0" fontId="2" fillId="0" borderId="0" xfId="0" applyFont="1"/>
    <xf numFmtId="0" fontId="9" fillId="0" borderId="0" xfId="0" applyFont="1" applyAlignment="1">
      <alignment vertical="top" wrapText="1"/>
    </xf>
    <xf numFmtId="0" fontId="1" fillId="0" borderId="1" xfId="0" applyFont="1" applyBorder="1"/>
    <xf numFmtId="0" fontId="2" fillId="0" borderId="1" xfId="0" applyFont="1" applyBorder="1"/>
    <xf numFmtId="0" fontId="3" fillId="0" borderId="0" xfId="0" applyFont="1" applyAlignment="1">
      <alignment horizontal="center"/>
    </xf>
    <xf numFmtId="0" fontId="4" fillId="2" borderId="1" xfId="0" applyFont="1" applyFill="1" applyBorder="1" applyAlignment="1">
      <alignment horizontal="center" vertical="top" wrapText="1"/>
    </xf>
    <xf numFmtId="0" fontId="5" fillId="0" borderId="1" xfId="0" applyFont="1" applyBorder="1"/>
    <xf numFmtId="1" fontId="5" fillId="0" borderId="1" xfId="0" applyNumberFormat="1" applyFont="1" applyBorder="1"/>
    <xf numFmtId="2" fontId="5" fillId="0" borderId="1" xfId="0" applyNumberFormat="1" applyFont="1" applyBorder="1"/>
    <xf numFmtId="9" fontId="5" fillId="0" borderId="1" xfId="0" applyNumberFormat="1" applyFont="1" applyBorder="1"/>
    <xf numFmtId="0" fontId="6" fillId="0" borderId="1" xfId="0" applyFont="1" applyBorder="1"/>
    <xf numFmtId="9" fontId="6" fillId="0" borderId="1" xfId="0" applyNumberFormat="1" applyFont="1" applyBorder="1"/>
    <xf numFmtId="164" fontId="5" fillId="0" borderId="1" xfId="0" applyNumberFormat="1" applyFont="1" applyBorder="1"/>
    <xf numFmtId="0" fontId="5" fillId="0" borderId="1" xfId="0" applyFont="1" applyBorder="1" applyAlignment="1">
      <alignment horizontal="center"/>
    </xf>
    <xf numFmtId="0" fontId="5" fillId="0" borderId="1" xfId="0" applyFont="1" applyBorder="1" applyAlignment="1">
      <alignment horizontal="center" vertical="top" wrapText="1"/>
    </xf>
    <xf numFmtId="0" fontId="5" fillId="0" borderId="1" xfId="0" applyFont="1" applyBorder="1" applyAlignment="1">
      <alignment vertical="top" wrapText="1"/>
    </xf>
    <xf numFmtId="0" fontId="7" fillId="0" borderId="1" xfId="0" applyFont="1" applyBorder="1" applyAlignment="1">
      <alignment horizontal="center" vertical="top" wrapText="1"/>
    </xf>
    <xf numFmtId="164" fontId="5" fillId="0" borderId="1" xfId="0" applyNumberFormat="1" applyFont="1" applyBorder="1" applyAlignment="1">
      <alignment horizontal="center" vertical="top" wrapText="1"/>
    </xf>
    <xf numFmtId="0" fontId="0" fillId="0" borderId="1" xfId="0" applyBorder="1"/>
    <xf numFmtId="0" fontId="8" fillId="0" borderId="1" xfId="0" applyFont="1" applyBorder="1" applyAlignment="1">
      <alignment vertical="top" wrapText="1"/>
    </xf>
    <xf numFmtId="164" fontId="8" fillId="0" borderId="1" xfId="0" applyNumberFormat="1" applyFont="1" applyBorder="1" applyAlignment="1">
      <alignment horizontal="center" vertical="top" wrapText="1"/>
    </xf>
    <xf numFmtId="0" fontId="8" fillId="0" borderId="1" xfId="0" applyFont="1" applyBorder="1" applyAlignment="1">
      <alignment horizontal="center" vertical="top" wrapText="1"/>
    </xf>
    <xf numFmtId="0" fontId="7" fillId="0" borderId="1" xfId="0" applyFont="1" applyBorder="1" applyAlignment="1">
      <alignment vertical="top" wrapText="1"/>
    </xf>
    <xf numFmtId="0" fontId="6" fillId="3" borderId="1" xfId="0" applyFont="1" applyFill="1" applyBorder="1" applyAlignment="1">
      <alignment vertical="top" wrapText="1"/>
    </xf>
    <xf numFmtId="0" fontId="10" fillId="0" borderId="0" xfId="0" applyFont="1" applyAlignment="1">
      <alignment vertical="top" wrapText="1"/>
    </xf>
    <xf numFmtId="0" fontId="4" fillId="2" borderId="1" xfId="0" applyFont="1" applyFill="1" applyBorder="1" applyAlignment="1">
      <alignment vertical="top" wrapText="1"/>
    </xf>
    <xf numFmtId="0" fontId="9" fillId="0" borderId="1" xfId="0" applyFont="1" applyBorder="1" applyAlignment="1">
      <alignment vertical="top" wrapText="1"/>
    </xf>
    <xf numFmtId="0" fontId="6" fillId="0" borderId="1" xfId="0" applyFont="1" applyBorder="1" applyAlignment="1">
      <alignment vertical="top" wrapText="1"/>
    </xf>
    <xf numFmtId="0" fontId="6" fillId="0" borderId="1" xfId="0" applyFont="1" applyBorder="1" applyAlignment="1">
      <alignment vertical="top" wrapText="1"/>
    </xf>
    <xf numFmtId="0" fontId="9" fillId="0" borderId="1" xfId="0" applyFont="1" applyBorder="1" applyAlignment="1">
      <alignment vertical="top" wrapText="1"/>
    </xf>
  </cellXfs>
  <cellStyles count="1">
    <cellStyle name="Normal" xfId="0" builtinId="0"/>
  </cellStyles>
  <dxfs count="12">
    <dxf>
      <fill>
        <patternFill>
          <bgColor rgb="FFE2EFDA"/>
        </patternFill>
      </fill>
    </dxf>
    <dxf>
      <fill>
        <patternFill>
          <bgColor rgb="FFFFF2CC"/>
        </patternFill>
      </fill>
    </dxf>
    <dxf>
      <fill>
        <patternFill>
          <bgColor rgb="FFF8CBAD"/>
        </patternFill>
      </fill>
    </dxf>
    <dxf>
      <fill>
        <patternFill>
          <bgColor rgb="FFFF9999"/>
        </patternFill>
      </fill>
    </dxf>
    <dxf>
      <fill>
        <patternFill>
          <bgColor rgb="FFE2EFDA"/>
        </patternFill>
      </fill>
    </dxf>
    <dxf>
      <fill>
        <patternFill>
          <bgColor rgb="FFFFF2CC"/>
        </patternFill>
      </fill>
    </dxf>
    <dxf>
      <fill>
        <patternFill>
          <bgColor rgb="FFF8CBAD"/>
        </patternFill>
      </fill>
    </dxf>
    <dxf>
      <fill>
        <patternFill>
          <bgColor rgb="FFFF9999"/>
        </patternFill>
      </fill>
    </dxf>
    <dxf>
      <fill>
        <patternFill>
          <bgColor rgb="FFFF9999"/>
        </patternFill>
      </fill>
    </dxf>
    <dxf>
      <fill>
        <patternFill>
          <bgColor rgb="FFF8CBAD"/>
        </patternFill>
      </fill>
    </dxf>
    <dxf>
      <fill>
        <patternFill>
          <bgColor rgb="FFFFF2CC"/>
        </patternFill>
      </fill>
    </dxf>
    <dxf>
      <fill>
        <patternFill>
          <bgColor rgb="FFC6E0B4"/>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C0504D"/>
      <rgbColor rgb="FFFFF2CC"/>
      <rgbColor rgb="FFD9E2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6E0B4"/>
      <rgbColor rgb="FFE2EFDA"/>
      <rgbColor rgb="FFFFFF99"/>
      <rgbColor rgb="FF99CCFF"/>
      <rgbColor rgb="FFFF9999"/>
      <rgbColor rgb="FFCC99FF"/>
      <rgbColor rgb="FFF8CBAD"/>
      <rgbColor rgb="FF3366FF"/>
      <rgbColor rgb="FF33CCCC"/>
      <rgbColor rgb="FF9BBB59"/>
      <rgbColor rgb="FFFFCC00"/>
      <rgbColor rgb="FFFF9900"/>
      <rgbColor rgb="FFFF6600"/>
      <rgbColor rgb="FF4F81BD"/>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Alignment by theme (0-3)</a:t>
            </a:r>
          </a:p>
        </c:rich>
      </c:tx>
      <c:overlay val="0"/>
      <c:spPr>
        <a:noFill/>
        <a:ln w="0">
          <a:noFill/>
        </a:ln>
      </c:spPr>
    </c:title>
    <c:autoTitleDeleted val="0"/>
    <c:plotArea>
      <c:layout/>
      <c:barChart>
        <c:barDir val="bar"/>
        <c:grouping val="clustered"/>
        <c:varyColors val="0"/>
        <c:ser>
          <c:idx val="0"/>
          <c:order val="0"/>
          <c:tx>
            <c:strRef>
              <c:f>Summary!$C$25</c:f>
              <c:strCache>
                <c:ptCount val="1"/>
                <c:pt idx="0">
                  <c:v>ISO↔NIST</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Summary!$A$26:$A$34</c:f>
              <c:strCache>
                <c:ptCount val="9"/>
                <c:pt idx="0">
                  <c:v>Governance &amp; Accountability</c:v>
                </c:pt>
                <c:pt idx="1">
                  <c:v>Risk &amp; Assurance</c:v>
                </c:pt>
                <c:pt idx="2">
                  <c:v>Asset &amp; Data Management</c:v>
                </c:pt>
                <c:pt idx="3">
                  <c:v>Consent &amp; Notice</c:v>
                </c:pt>
                <c:pt idx="4">
                  <c:v>Data Principal Rights</c:v>
                </c:pt>
                <c:pt idx="5">
                  <c:v>Security Safeguards</c:v>
                </c:pt>
                <c:pt idx="6">
                  <c:v>People &amp; Physical</c:v>
                </c:pt>
                <c:pt idx="7">
                  <c:v>Incident &amp; Breach</c:v>
                </c:pt>
                <c:pt idx="8">
                  <c:v>Supplier &amp; Transfers</c:v>
                </c:pt>
              </c:strCache>
            </c:strRef>
          </c:cat>
          <c:val>
            <c:numRef>
              <c:f>Summary!$C$26:$C$34</c:f>
              <c:numCache>
                <c:formatCode>0.0</c:formatCode>
                <c:ptCount val="9"/>
                <c:pt idx="0">
                  <c:v>2.8</c:v>
                </c:pt>
                <c:pt idx="1">
                  <c:v>2.75</c:v>
                </c:pt>
                <c:pt idx="2">
                  <c:v>2.2000000000000002</c:v>
                </c:pt>
                <c:pt idx="3">
                  <c:v>0</c:v>
                </c:pt>
                <c:pt idx="4">
                  <c:v>0.33333333333333331</c:v>
                </c:pt>
                <c:pt idx="5">
                  <c:v>3</c:v>
                </c:pt>
                <c:pt idx="6">
                  <c:v>3</c:v>
                </c:pt>
                <c:pt idx="7">
                  <c:v>3</c:v>
                </c:pt>
                <c:pt idx="8">
                  <c:v>2</c:v>
                </c:pt>
              </c:numCache>
            </c:numRef>
          </c:val>
          <c:extLst>
            <c:ext xmlns:c16="http://schemas.microsoft.com/office/drawing/2014/chart" uri="{C3380CC4-5D6E-409C-BE32-E72D297353CC}">
              <c16:uniqueId val="{00000000-1BF0-4A1A-9EB6-1D4682837389}"/>
            </c:ext>
          </c:extLst>
        </c:ser>
        <c:ser>
          <c:idx val="1"/>
          <c:order val="1"/>
          <c:tx>
            <c:strRef>
              <c:f>Summary!$D$25</c:f>
              <c:strCache>
                <c:ptCount val="1"/>
                <c:pt idx="0">
                  <c:v>ISO↔DPDP</c:v>
                </c:pt>
              </c:strCache>
            </c:strRef>
          </c:tx>
          <c:spPr>
            <a:solidFill>
              <a:srgbClr val="C0504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Summary!$A$26:$A$34</c:f>
              <c:strCache>
                <c:ptCount val="9"/>
                <c:pt idx="0">
                  <c:v>Governance &amp; Accountability</c:v>
                </c:pt>
                <c:pt idx="1">
                  <c:v>Risk &amp; Assurance</c:v>
                </c:pt>
                <c:pt idx="2">
                  <c:v>Asset &amp; Data Management</c:v>
                </c:pt>
                <c:pt idx="3">
                  <c:v>Consent &amp; Notice</c:v>
                </c:pt>
                <c:pt idx="4">
                  <c:v>Data Principal Rights</c:v>
                </c:pt>
                <c:pt idx="5">
                  <c:v>Security Safeguards</c:v>
                </c:pt>
                <c:pt idx="6">
                  <c:v>People &amp; Physical</c:v>
                </c:pt>
                <c:pt idx="7">
                  <c:v>Incident &amp; Breach</c:v>
                </c:pt>
                <c:pt idx="8">
                  <c:v>Supplier &amp; Transfers</c:v>
                </c:pt>
              </c:strCache>
            </c:strRef>
          </c:cat>
          <c:val>
            <c:numRef>
              <c:f>Summary!$D$26:$D$34</c:f>
              <c:numCache>
                <c:formatCode>0.0</c:formatCode>
                <c:ptCount val="9"/>
                <c:pt idx="0">
                  <c:v>2</c:v>
                </c:pt>
                <c:pt idx="1">
                  <c:v>1.5</c:v>
                </c:pt>
                <c:pt idx="2">
                  <c:v>1.2</c:v>
                </c:pt>
                <c:pt idx="3">
                  <c:v>0</c:v>
                </c:pt>
                <c:pt idx="4">
                  <c:v>1</c:v>
                </c:pt>
                <c:pt idx="5">
                  <c:v>2.2222222222222223</c:v>
                </c:pt>
                <c:pt idx="6">
                  <c:v>1.5</c:v>
                </c:pt>
                <c:pt idx="7">
                  <c:v>1.5</c:v>
                </c:pt>
                <c:pt idx="8">
                  <c:v>1.5</c:v>
                </c:pt>
              </c:numCache>
            </c:numRef>
          </c:val>
          <c:extLst>
            <c:ext xmlns:c16="http://schemas.microsoft.com/office/drawing/2014/chart" uri="{C3380CC4-5D6E-409C-BE32-E72D297353CC}">
              <c16:uniqueId val="{00000001-1BF0-4A1A-9EB6-1D4682837389}"/>
            </c:ext>
          </c:extLst>
        </c:ser>
        <c:ser>
          <c:idx val="2"/>
          <c:order val="2"/>
          <c:tx>
            <c:strRef>
              <c:f>Summary!$E$25</c:f>
              <c:strCache>
                <c:ptCount val="1"/>
                <c:pt idx="0">
                  <c:v>NIST↔DPDP</c:v>
                </c:pt>
              </c:strCache>
            </c:strRef>
          </c:tx>
          <c:spPr>
            <a:solidFill>
              <a:srgbClr val="9BBB59"/>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Summary!$A$26:$A$34</c:f>
              <c:strCache>
                <c:ptCount val="9"/>
                <c:pt idx="0">
                  <c:v>Governance &amp; Accountability</c:v>
                </c:pt>
                <c:pt idx="1">
                  <c:v>Risk &amp; Assurance</c:v>
                </c:pt>
                <c:pt idx="2">
                  <c:v>Asset &amp; Data Management</c:v>
                </c:pt>
                <c:pt idx="3">
                  <c:v>Consent &amp; Notice</c:v>
                </c:pt>
                <c:pt idx="4">
                  <c:v>Data Principal Rights</c:v>
                </c:pt>
                <c:pt idx="5">
                  <c:v>Security Safeguards</c:v>
                </c:pt>
                <c:pt idx="6">
                  <c:v>People &amp; Physical</c:v>
                </c:pt>
                <c:pt idx="7">
                  <c:v>Incident &amp; Breach</c:v>
                </c:pt>
                <c:pt idx="8">
                  <c:v>Supplier &amp; Transfers</c:v>
                </c:pt>
              </c:strCache>
            </c:strRef>
          </c:cat>
          <c:val>
            <c:numRef>
              <c:f>Summary!$E$26:$E$34</c:f>
              <c:numCache>
                <c:formatCode>0.0</c:formatCode>
                <c:ptCount val="9"/>
                <c:pt idx="0">
                  <c:v>1.8</c:v>
                </c:pt>
                <c:pt idx="1">
                  <c:v>1.5</c:v>
                </c:pt>
                <c:pt idx="2">
                  <c:v>0.8</c:v>
                </c:pt>
                <c:pt idx="3">
                  <c:v>0</c:v>
                </c:pt>
                <c:pt idx="4">
                  <c:v>0</c:v>
                </c:pt>
                <c:pt idx="5">
                  <c:v>2.2222222222222223</c:v>
                </c:pt>
                <c:pt idx="6">
                  <c:v>1.5</c:v>
                </c:pt>
                <c:pt idx="7">
                  <c:v>1.5</c:v>
                </c:pt>
                <c:pt idx="8">
                  <c:v>1</c:v>
                </c:pt>
              </c:numCache>
            </c:numRef>
          </c:val>
          <c:extLst>
            <c:ext xmlns:c16="http://schemas.microsoft.com/office/drawing/2014/chart" uri="{C3380CC4-5D6E-409C-BE32-E72D297353CC}">
              <c16:uniqueId val="{00000002-1BF0-4A1A-9EB6-1D4682837389}"/>
            </c:ext>
          </c:extLst>
        </c:ser>
        <c:dLbls>
          <c:showLegendKey val="0"/>
          <c:showVal val="0"/>
          <c:showCatName val="0"/>
          <c:showSerName val="0"/>
          <c:showPercent val="0"/>
          <c:showBubbleSize val="0"/>
        </c:dLbls>
        <c:gapWidth val="150"/>
        <c:axId val="12637638"/>
        <c:axId val="27884700"/>
      </c:barChart>
      <c:catAx>
        <c:axId val="12637638"/>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7884700"/>
        <c:crosses val="autoZero"/>
        <c:auto val="1"/>
        <c:lblAlgn val="ctr"/>
        <c:lblOffset val="100"/>
        <c:noMultiLvlLbl val="0"/>
      </c:catAx>
      <c:valAx>
        <c:axId val="27884700"/>
        <c:scaling>
          <c:orientation val="minMax"/>
          <c:max val="3"/>
          <c:min val="0"/>
        </c:scaling>
        <c:delete val="0"/>
        <c:axPos val="b"/>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2637638"/>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2</xdr:row>
      <xdr:rowOff>160920</xdr:rowOff>
    </xdr:from>
    <xdr:to>
      <xdr:col>17</xdr:col>
      <xdr:colOff>364320</xdr:colOff>
      <xdr:row>19</xdr:row>
      <xdr:rowOff>162000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1"/>
  <sheetViews>
    <sheetView tabSelected="1" zoomScaleNormal="100" workbookViewId="0">
      <selection activeCell="E8" sqref="E8"/>
    </sheetView>
  </sheetViews>
  <sheetFormatPr defaultColWidth="8.6640625" defaultRowHeight="14.4" x14ac:dyDescent="0.3"/>
  <cols>
    <col min="1" max="1" width="101.44140625" bestFit="1" customWidth="1"/>
    <col min="2" max="2" width="14" customWidth="1"/>
    <col min="3" max="5" width="12" customWidth="1"/>
    <col min="6" max="6" width="14" customWidth="1"/>
  </cols>
  <sheetData>
    <row r="1" spans="1:2" ht="17.399999999999999" x14ac:dyDescent="0.3">
      <c r="A1" s="4" t="s">
        <v>0</v>
      </c>
    </row>
    <row r="2" spans="1:2" x14ac:dyDescent="0.3">
      <c r="A2" s="5" t="s">
        <v>1</v>
      </c>
    </row>
    <row r="4" spans="1:2" x14ac:dyDescent="0.3">
      <c r="A4" s="6" t="s">
        <v>2</v>
      </c>
    </row>
    <row r="5" spans="1:2" x14ac:dyDescent="0.3">
      <c r="A5" s="7" t="s">
        <v>3</v>
      </c>
      <c r="B5" s="7" t="s">
        <v>4</v>
      </c>
    </row>
    <row r="6" spans="1:2" x14ac:dyDescent="0.3">
      <c r="A6" s="8" t="s">
        <v>5</v>
      </c>
      <c r="B6" s="9">
        <f>COUNTA(Mapping_Matrix!$A$5:$A$39)</f>
        <v>35</v>
      </c>
    </row>
    <row r="7" spans="1:2" x14ac:dyDescent="0.3">
      <c r="A7" s="8" t="s">
        <v>6</v>
      </c>
      <c r="B7" s="10">
        <f>AVERAGE(Mapping_Matrix!$H$5:$H$39)</f>
        <v>2.2857142857142856</v>
      </c>
    </row>
    <row r="8" spans="1:2" x14ac:dyDescent="0.3">
      <c r="A8" s="8" t="s">
        <v>7</v>
      </c>
      <c r="B8" s="10">
        <f>AVERAGE(Mapping_Matrix!$I$5:$I$39)</f>
        <v>1.5428571428571429</v>
      </c>
    </row>
    <row r="9" spans="1:2" x14ac:dyDescent="0.3">
      <c r="A9" s="8" t="s">
        <v>8</v>
      </c>
      <c r="B9" s="10">
        <f>AVERAGE(Mapping_Matrix!$J$5:$J$39)</f>
        <v>1.3428571428571427</v>
      </c>
    </row>
    <row r="10" spans="1:2" x14ac:dyDescent="0.3">
      <c r="A10" s="8" t="s">
        <v>9</v>
      </c>
      <c r="B10" s="10">
        <f>AVERAGE(Mapping_Matrix!$L$5:$L$39)</f>
        <v>1.4428571428571428</v>
      </c>
    </row>
    <row r="11" spans="1:2" x14ac:dyDescent="0.3">
      <c r="A11" s="8" t="s">
        <v>10</v>
      </c>
      <c r="B11" s="9">
        <f>COUNTIF(Mapping_Matrix!$C$5:$C$39,"Privacy-specific")</f>
        <v>14</v>
      </c>
    </row>
    <row r="12" spans="1:2" x14ac:dyDescent="0.3">
      <c r="A12" s="8" t="s">
        <v>11</v>
      </c>
      <c r="B12" s="9">
        <f>SUMPRODUCT((Mapping_Matrix!$C$5:$C$39="Privacy-specific")*(Mapping_Matrix!$I$5:$I$39&lt;=1)*(Mapping_Matrix!$J$5:$J$39&lt;=1))</f>
        <v>12</v>
      </c>
    </row>
    <row r="13" spans="1:2" x14ac:dyDescent="0.3">
      <c r="A13" s="8" t="s">
        <v>12</v>
      </c>
      <c r="B13" s="9">
        <f>COUNTA(Gap_Register!$A$5:$A$18)</f>
        <v>14</v>
      </c>
    </row>
    <row r="14" spans="1:2" x14ac:dyDescent="0.3">
      <c r="A14" s="8" t="s">
        <v>13</v>
      </c>
      <c r="B14" s="9">
        <f>COUNTIF(Mapping_Matrix!$P$5:$P$39,"Critical")</f>
        <v>5</v>
      </c>
    </row>
    <row r="16" spans="1:2" x14ac:dyDescent="0.3">
      <c r="A16" s="6" t="s">
        <v>14</v>
      </c>
    </row>
    <row r="17" spans="1:6" x14ac:dyDescent="0.3">
      <c r="A17" s="7" t="s">
        <v>15</v>
      </c>
      <c r="B17" s="7" t="s">
        <v>16</v>
      </c>
      <c r="C17" s="7" t="s">
        <v>17</v>
      </c>
    </row>
    <row r="18" spans="1:6" x14ac:dyDescent="0.3">
      <c r="A18" s="8" t="s">
        <v>18</v>
      </c>
      <c r="B18" s="8">
        <f>COUNTIF(Mapping_Matrix!$M$5:$M$39,A18)</f>
        <v>5</v>
      </c>
      <c r="C18" s="11">
        <f>B18/$B$6</f>
        <v>0.14285714285714285</v>
      </c>
    </row>
    <row r="19" spans="1:6" x14ac:dyDescent="0.3">
      <c r="A19" s="8" t="s">
        <v>19</v>
      </c>
      <c r="B19" s="8">
        <f>COUNTIF(Mapping_Matrix!$M$5:$M$39,A19)</f>
        <v>12</v>
      </c>
      <c r="C19" s="11">
        <f>B19/$B$6</f>
        <v>0.34285714285714286</v>
      </c>
    </row>
    <row r="20" spans="1:6" x14ac:dyDescent="0.3">
      <c r="A20" s="8" t="s">
        <v>20</v>
      </c>
      <c r="B20" s="8">
        <f>COUNTIF(Mapping_Matrix!$M$5:$M$39,A20)</f>
        <v>14</v>
      </c>
      <c r="C20" s="11">
        <f>B20/$B$6</f>
        <v>0.4</v>
      </c>
    </row>
    <row r="21" spans="1:6" x14ac:dyDescent="0.3">
      <c r="A21" s="8" t="s">
        <v>21</v>
      </c>
      <c r="B21" s="8">
        <f>COUNTIF(Mapping_Matrix!$M$5:$M$39,A21)</f>
        <v>4</v>
      </c>
      <c r="C21" s="11">
        <f>B21/$B$6</f>
        <v>0.11428571428571428</v>
      </c>
    </row>
    <row r="22" spans="1:6" x14ac:dyDescent="0.3">
      <c r="A22" s="12" t="s">
        <v>22</v>
      </c>
      <c r="B22" s="12">
        <f>SUM(B18:B21)</f>
        <v>35</v>
      </c>
      <c r="C22" s="13">
        <f>SUM(C18:C21)</f>
        <v>1</v>
      </c>
    </row>
    <row r="24" spans="1:6" x14ac:dyDescent="0.3">
      <c r="A24" s="6" t="s">
        <v>23</v>
      </c>
    </row>
    <row r="25" spans="1:6" ht="26.4" x14ac:dyDescent="0.3">
      <c r="A25" s="7" t="s">
        <v>24</v>
      </c>
      <c r="B25" s="7" t="s">
        <v>25</v>
      </c>
      <c r="C25" s="7" t="s">
        <v>26</v>
      </c>
      <c r="D25" s="7" t="s">
        <v>27</v>
      </c>
      <c r="E25" s="7" t="s">
        <v>28</v>
      </c>
      <c r="F25" s="7" t="s">
        <v>29</v>
      </c>
    </row>
    <row r="26" spans="1:6" x14ac:dyDescent="0.3">
      <c r="A26" s="8" t="s">
        <v>30</v>
      </c>
      <c r="B26" s="8">
        <f>COUNTIF(Mapping_Matrix!$B$5:$B$39,A26)</f>
        <v>5</v>
      </c>
      <c r="C26" s="14">
        <f>AVERAGEIF(Mapping_Matrix!$B$5:$B$39,$A26,Mapping_Matrix!$H$5:$H$39)</f>
        <v>2.8</v>
      </c>
      <c r="D26" s="14">
        <f>AVERAGEIF(Mapping_Matrix!$B$5:$B$39,$A26,Mapping_Matrix!$I$5:$I$39)</f>
        <v>2</v>
      </c>
      <c r="E26" s="14">
        <f>AVERAGEIF(Mapping_Matrix!$B$5:$B$39,$A26,Mapping_Matrix!$J$5:$J$39)</f>
        <v>1.8</v>
      </c>
      <c r="F26" s="14">
        <f>AVERAGEIF(Mapping_Matrix!$B$5:$B$39,$A26,Mapping_Matrix!$L$5:$L$39)</f>
        <v>1.9</v>
      </c>
    </row>
    <row r="27" spans="1:6" x14ac:dyDescent="0.3">
      <c r="A27" s="8" t="s">
        <v>31</v>
      </c>
      <c r="B27" s="8">
        <f>COUNTIF(Mapping_Matrix!$B$5:$B$39,A27)</f>
        <v>4</v>
      </c>
      <c r="C27" s="14">
        <f>AVERAGEIF(Mapping_Matrix!$B$5:$B$39,$A27,Mapping_Matrix!$H$5:$H$39)</f>
        <v>2.75</v>
      </c>
      <c r="D27" s="14">
        <f>AVERAGEIF(Mapping_Matrix!$B$5:$B$39,$A27,Mapping_Matrix!$I$5:$I$39)</f>
        <v>1.5</v>
      </c>
      <c r="E27" s="14">
        <f>AVERAGEIF(Mapping_Matrix!$B$5:$B$39,$A27,Mapping_Matrix!$J$5:$J$39)</f>
        <v>1.5</v>
      </c>
      <c r="F27" s="14">
        <f>AVERAGEIF(Mapping_Matrix!$B$5:$B$39,$A27,Mapping_Matrix!$L$5:$L$39)</f>
        <v>1.5</v>
      </c>
    </row>
    <row r="28" spans="1:6" x14ac:dyDescent="0.3">
      <c r="A28" s="8" t="s">
        <v>32</v>
      </c>
      <c r="B28" s="8">
        <f>COUNTIF(Mapping_Matrix!$B$5:$B$39,A28)</f>
        <v>5</v>
      </c>
      <c r="C28" s="14">
        <f>AVERAGEIF(Mapping_Matrix!$B$5:$B$39,$A28,Mapping_Matrix!$H$5:$H$39)</f>
        <v>2.2000000000000002</v>
      </c>
      <c r="D28" s="14">
        <f>AVERAGEIF(Mapping_Matrix!$B$5:$B$39,$A28,Mapping_Matrix!$I$5:$I$39)</f>
        <v>1.2</v>
      </c>
      <c r="E28" s="14">
        <f>AVERAGEIF(Mapping_Matrix!$B$5:$B$39,$A28,Mapping_Matrix!$J$5:$J$39)</f>
        <v>0.8</v>
      </c>
      <c r="F28" s="14">
        <f>AVERAGEIF(Mapping_Matrix!$B$5:$B$39,$A28,Mapping_Matrix!$L$5:$L$39)</f>
        <v>1</v>
      </c>
    </row>
    <row r="29" spans="1:6" x14ac:dyDescent="0.3">
      <c r="A29" s="8" t="s">
        <v>33</v>
      </c>
      <c r="B29" s="8">
        <f>COUNTIF(Mapping_Matrix!$B$5:$B$39,A29)</f>
        <v>3</v>
      </c>
      <c r="C29" s="14">
        <f>AVERAGEIF(Mapping_Matrix!$B$5:$B$39,$A29,Mapping_Matrix!$H$5:$H$39)</f>
        <v>0</v>
      </c>
      <c r="D29" s="14">
        <f>AVERAGEIF(Mapping_Matrix!$B$5:$B$39,$A29,Mapping_Matrix!$I$5:$I$39)</f>
        <v>0</v>
      </c>
      <c r="E29" s="14">
        <f>AVERAGEIF(Mapping_Matrix!$B$5:$B$39,$A29,Mapping_Matrix!$J$5:$J$39)</f>
        <v>0</v>
      </c>
      <c r="F29" s="14">
        <f>AVERAGEIF(Mapping_Matrix!$B$5:$B$39,$A29,Mapping_Matrix!$L$5:$L$39)</f>
        <v>0</v>
      </c>
    </row>
    <row r="30" spans="1:6" x14ac:dyDescent="0.3">
      <c r="A30" s="8" t="s">
        <v>34</v>
      </c>
      <c r="B30" s="8">
        <f>COUNTIF(Mapping_Matrix!$B$5:$B$39,A30)</f>
        <v>3</v>
      </c>
      <c r="C30" s="14">
        <f>AVERAGEIF(Mapping_Matrix!$B$5:$B$39,$A30,Mapping_Matrix!$H$5:$H$39)</f>
        <v>0.33333333333333331</v>
      </c>
      <c r="D30" s="14">
        <f>AVERAGEIF(Mapping_Matrix!$B$5:$B$39,$A30,Mapping_Matrix!$I$5:$I$39)</f>
        <v>1</v>
      </c>
      <c r="E30" s="14">
        <f>AVERAGEIF(Mapping_Matrix!$B$5:$B$39,$A30,Mapping_Matrix!$J$5:$J$39)</f>
        <v>0</v>
      </c>
      <c r="F30" s="14">
        <f>AVERAGEIF(Mapping_Matrix!$B$5:$B$39,$A30,Mapping_Matrix!$L$5:$L$39)</f>
        <v>0.5</v>
      </c>
    </row>
    <row r="31" spans="1:6" x14ac:dyDescent="0.3">
      <c r="A31" s="8" t="s">
        <v>35</v>
      </c>
      <c r="B31" s="8">
        <f>COUNTIF(Mapping_Matrix!$B$5:$B$39,A31)</f>
        <v>9</v>
      </c>
      <c r="C31" s="14">
        <f>AVERAGEIF(Mapping_Matrix!$B$5:$B$39,$A31,Mapping_Matrix!$H$5:$H$39)</f>
        <v>3</v>
      </c>
      <c r="D31" s="14">
        <f>AVERAGEIF(Mapping_Matrix!$B$5:$B$39,$A31,Mapping_Matrix!$I$5:$I$39)</f>
        <v>2.2222222222222223</v>
      </c>
      <c r="E31" s="14">
        <f>AVERAGEIF(Mapping_Matrix!$B$5:$B$39,$A31,Mapping_Matrix!$J$5:$J$39)</f>
        <v>2.2222222222222223</v>
      </c>
      <c r="F31" s="14">
        <f>AVERAGEIF(Mapping_Matrix!$B$5:$B$39,$A31,Mapping_Matrix!$L$5:$L$39)</f>
        <v>2.2222222222222223</v>
      </c>
    </row>
    <row r="32" spans="1:6" x14ac:dyDescent="0.3">
      <c r="A32" s="8" t="s">
        <v>36</v>
      </c>
      <c r="B32" s="8">
        <f>COUNTIF(Mapping_Matrix!$B$5:$B$39,A32)</f>
        <v>2</v>
      </c>
      <c r="C32" s="14">
        <f>AVERAGEIF(Mapping_Matrix!$B$5:$B$39,$A32,Mapping_Matrix!$H$5:$H$39)</f>
        <v>3</v>
      </c>
      <c r="D32" s="14">
        <f>AVERAGEIF(Mapping_Matrix!$B$5:$B$39,$A32,Mapping_Matrix!$I$5:$I$39)</f>
        <v>1.5</v>
      </c>
      <c r="E32" s="14">
        <f>AVERAGEIF(Mapping_Matrix!$B$5:$B$39,$A32,Mapping_Matrix!$J$5:$J$39)</f>
        <v>1.5</v>
      </c>
      <c r="F32" s="14">
        <f>AVERAGEIF(Mapping_Matrix!$B$5:$B$39,$A32,Mapping_Matrix!$L$5:$L$39)</f>
        <v>1.5</v>
      </c>
    </row>
    <row r="33" spans="1:6" x14ac:dyDescent="0.3">
      <c r="A33" s="8" t="s">
        <v>37</v>
      </c>
      <c r="B33" s="8">
        <f>COUNTIF(Mapping_Matrix!$B$5:$B$39,A33)</f>
        <v>2</v>
      </c>
      <c r="C33" s="14">
        <f>AVERAGEIF(Mapping_Matrix!$B$5:$B$39,$A33,Mapping_Matrix!$H$5:$H$39)</f>
        <v>3</v>
      </c>
      <c r="D33" s="14">
        <f>AVERAGEIF(Mapping_Matrix!$B$5:$B$39,$A33,Mapping_Matrix!$I$5:$I$39)</f>
        <v>1.5</v>
      </c>
      <c r="E33" s="14">
        <f>AVERAGEIF(Mapping_Matrix!$B$5:$B$39,$A33,Mapping_Matrix!$J$5:$J$39)</f>
        <v>1.5</v>
      </c>
      <c r="F33" s="14">
        <f>AVERAGEIF(Mapping_Matrix!$B$5:$B$39,$A33,Mapping_Matrix!$L$5:$L$39)</f>
        <v>1.5</v>
      </c>
    </row>
    <row r="34" spans="1:6" x14ac:dyDescent="0.3">
      <c r="A34" s="8" t="s">
        <v>38</v>
      </c>
      <c r="B34" s="8">
        <f>COUNTIF(Mapping_Matrix!$B$5:$B$39,A34)</f>
        <v>2</v>
      </c>
      <c r="C34" s="14">
        <f>AVERAGEIF(Mapping_Matrix!$B$5:$B$39,$A34,Mapping_Matrix!$H$5:$H$39)</f>
        <v>2</v>
      </c>
      <c r="D34" s="14">
        <f>AVERAGEIF(Mapping_Matrix!$B$5:$B$39,$A34,Mapping_Matrix!$I$5:$I$39)</f>
        <v>1.5</v>
      </c>
      <c r="E34" s="14">
        <f>AVERAGEIF(Mapping_Matrix!$B$5:$B$39,$A34,Mapping_Matrix!$J$5:$J$39)</f>
        <v>1</v>
      </c>
      <c r="F34" s="14">
        <f>AVERAGEIF(Mapping_Matrix!$B$5:$B$39,$A34,Mapping_Matrix!$L$5:$L$39)</f>
        <v>1.25</v>
      </c>
    </row>
    <row r="36" spans="1:6" x14ac:dyDescent="0.3">
      <c r="A36" s="6" t="s">
        <v>39</v>
      </c>
    </row>
    <row r="37" spans="1:6" x14ac:dyDescent="0.3">
      <c r="A37" s="7" t="s">
        <v>40</v>
      </c>
      <c r="B37" s="7" t="s">
        <v>16</v>
      </c>
    </row>
    <row r="38" spans="1:6" x14ac:dyDescent="0.3">
      <c r="A38" s="15" t="s">
        <v>41</v>
      </c>
      <c r="B38" s="15">
        <f>COUNTIF(Mapping_Matrix!$P$5:$P$39,A38)</f>
        <v>5</v>
      </c>
    </row>
    <row r="39" spans="1:6" x14ac:dyDescent="0.3">
      <c r="A39" s="15" t="s">
        <v>42</v>
      </c>
      <c r="B39" s="15">
        <f>COUNTIF(Mapping_Matrix!$P$5:$P$39,A39)</f>
        <v>14</v>
      </c>
    </row>
    <row r="40" spans="1:6" x14ac:dyDescent="0.3">
      <c r="A40" s="15" t="s">
        <v>43</v>
      </c>
      <c r="B40" s="15">
        <f>COUNTIF(Mapping_Matrix!$P$5:$P$39,A40)</f>
        <v>10</v>
      </c>
    </row>
    <row r="41" spans="1:6" x14ac:dyDescent="0.3">
      <c r="A41" s="15" t="s">
        <v>44</v>
      </c>
      <c r="B41" s="15">
        <f>COUNTIF(Mapping_Matrix!$P$5:$P$39,A41)</f>
        <v>6</v>
      </c>
    </row>
  </sheetData>
  <pageMargins left="0.75" right="0.75" top="1" bottom="1" header="0.511811023622047" footer="0.511811023622047"/>
  <pageSetup paperSize="9" orientation="portrait" horizontalDpi="300" verticalDpi="300"/>
  <headerFooter>
    <oddHeader>&amp;C&amp;"SKF Sans Office"&amp;10&amp;K0000FE Confidentiality: C2 – Internal &amp;1#_x000D_</oddHead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40"/>
  <sheetViews>
    <sheetView zoomScaleNormal="100" workbookViewId="0">
      <pane xSplit="4" ySplit="4" topLeftCell="E5" activePane="bottomRight" state="frozen"/>
      <selection pane="topRight" activeCell="E1" sqref="E1"/>
      <selection pane="bottomLeft" activeCell="A5" sqref="A5"/>
      <selection pane="bottomRight" activeCell="E11" sqref="E11"/>
    </sheetView>
  </sheetViews>
  <sheetFormatPr defaultColWidth="8.6640625" defaultRowHeight="14.4" x14ac:dyDescent="0.3"/>
  <cols>
    <col min="1" max="1" width="10" customWidth="1"/>
    <col min="2" max="2" width="20" customWidth="1"/>
    <col min="3" max="3" width="14" customWidth="1"/>
    <col min="4" max="4" width="34" customWidth="1"/>
    <col min="5" max="6" width="30" customWidth="1"/>
    <col min="7" max="7" width="38" customWidth="1"/>
    <col min="8" max="10" width="10" customWidth="1"/>
    <col min="11" max="11" width="11" customWidth="1"/>
    <col min="12" max="12" width="12" customWidth="1"/>
    <col min="13" max="13" width="15" customWidth="1"/>
    <col min="14" max="14" width="60" customWidth="1"/>
    <col min="15" max="15" width="48" customWidth="1"/>
    <col min="16" max="16" width="10" customWidth="1"/>
  </cols>
  <sheetData>
    <row r="1" spans="1:16" ht="17.399999999999999" x14ac:dyDescent="0.3">
      <c r="A1" s="1" t="s">
        <v>45</v>
      </c>
    </row>
    <row r="2" spans="1:16" x14ac:dyDescent="0.3">
      <c r="A2" s="2" t="s">
        <v>46</v>
      </c>
    </row>
    <row r="4" spans="1:16" ht="39.6" x14ac:dyDescent="0.3">
      <c r="A4" s="7" t="s">
        <v>47</v>
      </c>
      <c r="B4" s="7" t="s">
        <v>24</v>
      </c>
      <c r="C4" s="7" t="s">
        <v>48</v>
      </c>
      <c r="D4" s="7" t="s">
        <v>49</v>
      </c>
      <c r="E4" s="7" t="s">
        <v>50</v>
      </c>
      <c r="F4" s="7" t="s">
        <v>51</v>
      </c>
      <c r="G4" s="7" t="s">
        <v>52</v>
      </c>
      <c r="H4" s="7" t="s">
        <v>53</v>
      </c>
      <c r="I4" s="7" t="s">
        <v>54</v>
      </c>
      <c r="J4" s="7" t="s">
        <v>55</v>
      </c>
      <c r="K4" s="7" t="s">
        <v>56</v>
      </c>
      <c r="L4" s="7" t="s">
        <v>57</v>
      </c>
      <c r="M4" s="7" t="s">
        <v>15</v>
      </c>
      <c r="N4" s="7" t="s">
        <v>58</v>
      </c>
      <c r="O4" s="7" t="s">
        <v>59</v>
      </c>
      <c r="P4" s="7" t="s">
        <v>40</v>
      </c>
    </row>
    <row r="5" spans="1:16" ht="39.6" x14ac:dyDescent="0.3">
      <c r="A5" s="16" t="s">
        <v>60</v>
      </c>
      <c r="B5" s="17" t="s">
        <v>30</v>
      </c>
      <c r="C5" s="17" t="s">
        <v>61</v>
      </c>
      <c r="D5" s="17" t="s">
        <v>62</v>
      </c>
      <c r="E5" s="17" t="s">
        <v>63</v>
      </c>
      <c r="F5" s="17" t="s">
        <v>64</v>
      </c>
      <c r="G5" s="17" t="s">
        <v>65</v>
      </c>
      <c r="H5" s="18">
        <v>3</v>
      </c>
      <c r="I5" s="18">
        <v>2</v>
      </c>
      <c r="J5" s="18">
        <v>2</v>
      </c>
      <c r="K5" s="19">
        <f t="shared" ref="K5:K39" si="0">AVERAGE(H5:J5)</f>
        <v>2.3333333333333335</v>
      </c>
      <c r="L5" s="19">
        <f t="shared" ref="L5:L39" si="1">AVERAGE(I5:J5)</f>
        <v>2</v>
      </c>
      <c r="M5" s="16" t="str">
        <f>IF(L5&gt;=Legend!$B$11,"Strong overlap",IF(L5&gt;=Legend!$B$12,"Partial overlap",IF(L5&gt;=Legend!$B$13,"Weak / indirect","Gap")))</f>
        <v>Partial overlap</v>
      </c>
      <c r="N5" s="17" t="s">
        <v>66</v>
      </c>
      <c r="O5" s="17" t="s">
        <v>67</v>
      </c>
      <c r="P5" s="16" t="s">
        <v>42</v>
      </c>
    </row>
    <row r="6" spans="1:16" ht="39.6" x14ac:dyDescent="0.3">
      <c r="A6" s="16" t="s">
        <v>68</v>
      </c>
      <c r="B6" s="17" t="s">
        <v>30</v>
      </c>
      <c r="C6" s="17" t="s">
        <v>61</v>
      </c>
      <c r="D6" s="17" t="s">
        <v>69</v>
      </c>
      <c r="E6" s="17" t="s">
        <v>70</v>
      </c>
      <c r="F6" s="17" t="s">
        <v>71</v>
      </c>
      <c r="G6" s="17" t="s">
        <v>72</v>
      </c>
      <c r="H6" s="18">
        <v>3</v>
      </c>
      <c r="I6" s="18">
        <v>2</v>
      </c>
      <c r="J6" s="18">
        <v>2</v>
      </c>
      <c r="K6" s="19">
        <f t="shared" si="0"/>
        <v>2.3333333333333335</v>
      </c>
      <c r="L6" s="19">
        <f t="shared" si="1"/>
        <v>2</v>
      </c>
      <c r="M6" s="16" t="str">
        <f>IF(L6&gt;=Legend!$B$11,"Strong overlap",IF(L6&gt;=Legend!$B$12,"Partial overlap",IF(L6&gt;=Legend!$B$13,"Weak / indirect","Gap")))</f>
        <v>Partial overlap</v>
      </c>
      <c r="N6" s="17" t="s">
        <v>73</v>
      </c>
      <c r="O6" s="17" t="s">
        <v>74</v>
      </c>
      <c r="P6" s="16" t="s">
        <v>42</v>
      </c>
    </row>
    <row r="7" spans="1:16" ht="39.6" x14ac:dyDescent="0.3">
      <c r="A7" s="16" t="s">
        <v>75</v>
      </c>
      <c r="B7" s="17" t="s">
        <v>30</v>
      </c>
      <c r="C7" s="17" t="s">
        <v>61</v>
      </c>
      <c r="D7" s="17" t="s">
        <v>76</v>
      </c>
      <c r="E7" s="17" t="s">
        <v>77</v>
      </c>
      <c r="F7" s="17" t="s">
        <v>78</v>
      </c>
      <c r="G7" s="17" t="s">
        <v>79</v>
      </c>
      <c r="H7" s="18">
        <v>3</v>
      </c>
      <c r="I7" s="18">
        <v>3</v>
      </c>
      <c r="J7" s="18">
        <v>2</v>
      </c>
      <c r="K7" s="19">
        <f t="shared" si="0"/>
        <v>2.6666666666666665</v>
      </c>
      <c r="L7" s="19">
        <f t="shared" si="1"/>
        <v>2.5</v>
      </c>
      <c r="M7" s="16" t="str">
        <f>IF(L7&gt;=Legend!$B$11,"Strong overlap",IF(L7&gt;=Legend!$B$12,"Partial overlap",IF(L7&gt;=Legend!$B$13,"Weak / indirect","Gap")))</f>
        <v>Strong overlap</v>
      </c>
      <c r="N7" s="17" t="s">
        <v>80</v>
      </c>
      <c r="O7" s="17" t="s">
        <v>81</v>
      </c>
      <c r="P7" s="16" t="s">
        <v>43</v>
      </c>
    </row>
    <row r="8" spans="1:16" ht="39.6" x14ac:dyDescent="0.3">
      <c r="A8" s="16" t="s">
        <v>82</v>
      </c>
      <c r="B8" s="17" t="s">
        <v>30</v>
      </c>
      <c r="C8" s="17" t="s">
        <v>83</v>
      </c>
      <c r="D8" s="17" t="s">
        <v>84</v>
      </c>
      <c r="E8" s="17" t="s">
        <v>85</v>
      </c>
      <c r="F8" s="17" t="s">
        <v>86</v>
      </c>
      <c r="G8" s="17" t="s">
        <v>87</v>
      </c>
      <c r="H8" s="18">
        <v>2</v>
      </c>
      <c r="I8" s="18">
        <v>1</v>
      </c>
      <c r="J8" s="18">
        <v>1</v>
      </c>
      <c r="K8" s="19">
        <f t="shared" si="0"/>
        <v>1.3333333333333333</v>
      </c>
      <c r="L8" s="19">
        <f t="shared" si="1"/>
        <v>1</v>
      </c>
      <c r="M8" s="16" t="str">
        <f>IF(L8&gt;=Legend!$B$11,"Strong overlap",IF(L8&gt;=Legend!$B$12,"Partial overlap",IF(L8&gt;=Legend!$B$13,"Weak / indirect","Gap")))</f>
        <v>Weak / indirect</v>
      </c>
      <c r="N8" s="17" t="s">
        <v>88</v>
      </c>
      <c r="O8" s="17" t="s">
        <v>89</v>
      </c>
      <c r="P8" s="16" t="s">
        <v>42</v>
      </c>
    </row>
    <row r="9" spans="1:16" ht="39.6" x14ac:dyDescent="0.3">
      <c r="A9" s="16" t="s">
        <v>90</v>
      </c>
      <c r="B9" s="17" t="s">
        <v>30</v>
      </c>
      <c r="C9" s="17" t="s">
        <v>61</v>
      </c>
      <c r="D9" s="17" t="s">
        <v>91</v>
      </c>
      <c r="E9" s="17" t="s">
        <v>92</v>
      </c>
      <c r="F9" s="17" t="s">
        <v>93</v>
      </c>
      <c r="G9" s="17" t="s">
        <v>94</v>
      </c>
      <c r="H9" s="18">
        <v>3</v>
      </c>
      <c r="I9" s="18">
        <v>2</v>
      </c>
      <c r="J9" s="18">
        <v>2</v>
      </c>
      <c r="K9" s="19">
        <f t="shared" si="0"/>
        <v>2.3333333333333335</v>
      </c>
      <c r="L9" s="19">
        <f t="shared" si="1"/>
        <v>2</v>
      </c>
      <c r="M9" s="16" t="str">
        <f>IF(L9&gt;=Legend!$B$11,"Strong overlap",IF(L9&gt;=Legend!$B$12,"Partial overlap",IF(L9&gt;=Legend!$B$13,"Weak / indirect","Gap")))</f>
        <v>Partial overlap</v>
      </c>
      <c r="N9" s="17" t="s">
        <v>95</v>
      </c>
      <c r="O9" s="17" t="s">
        <v>96</v>
      </c>
      <c r="P9" s="16" t="s">
        <v>43</v>
      </c>
    </row>
    <row r="10" spans="1:16" ht="39.6" x14ac:dyDescent="0.3">
      <c r="A10" s="16" t="s">
        <v>97</v>
      </c>
      <c r="B10" s="17" t="s">
        <v>31</v>
      </c>
      <c r="C10" s="17" t="s">
        <v>61</v>
      </c>
      <c r="D10" s="17" t="s">
        <v>98</v>
      </c>
      <c r="E10" s="17" t="s">
        <v>99</v>
      </c>
      <c r="F10" s="17" t="s">
        <v>100</v>
      </c>
      <c r="G10" s="17" t="s">
        <v>101</v>
      </c>
      <c r="H10" s="18">
        <v>3</v>
      </c>
      <c r="I10" s="18">
        <v>2</v>
      </c>
      <c r="J10" s="18">
        <v>2</v>
      </c>
      <c r="K10" s="19">
        <f t="shared" si="0"/>
        <v>2.3333333333333335</v>
      </c>
      <c r="L10" s="19">
        <f t="shared" si="1"/>
        <v>2</v>
      </c>
      <c r="M10" s="16" t="str">
        <f>IF(L10&gt;=Legend!$B$11,"Strong overlap",IF(L10&gt;=Legend!$B$12,"Partial overlap",IF(L10&gt;=Legend!$B$13,"Weak / indirect","Gap")))</f>
        <v>Partial overlap</v>
      </c>
      <c r="N10" s="17" t="s">
        <v>102</v>
      </c>
      <c r="O10" s="17" t="s">
        <v>103</v>
      </c>
      <c r="P10" s="16" t="s">
        <v>42</v>
      </c>
    </row>
    <row r="11" spans="1:16" ht="39.6" x14ac:dyDescent="0.3">
      <c r="A11" s="16" t="s">
        <v>104</v>
      </c>
      <c r="B11" s="17" t="s">
        <v>31</v>
      </c>
      <c r="C11" s="17" t="s">
        <v>83</v>
      </c>
      <c r="D11" s="17" t="s">
        <v>105</v>
      </c>
      <c r="E11" s="17" t="s">
        <v>106</v>
      </c>
      <c r="F11" s="17" t="s">
        <v>107</v>
      </c>
      <c r="G11" s="17" t="s">
        <v>108</v>
      </c>
      <c r="H11" s="18">
        <v>2</v>
      </c>
      <c r="I11" s="18">
        <v>1</v>
      </c>
      <c r="J11" s="18">
        <v>1</v>
      </c>
      <c r="K11" s="19">
        <f t="shared" si="0"/>
        <v>1.3333333333333333</v>
      </c>
      <c r="L11" s="19">
        <f t="shared" si="1"/>
        <v>1</v>
      </c>
      <c r="M11" s="16" t="str">
        <f>IF(L11&gt;=Legend!$B$11,"Strong overlap",IF(L11&gt;=Legend!$B$12,"Partial overlap",IF(L11&gt;=Legend!$B$13,"Weak / indirect","Gap")))</f>
        <v>Weak / indirect</v>
      </c>
      <c r="N11" s="17" t="s">
        <v>109</v>
      </c>
      <c r="O11" s="17" t="s">
        <v>110</v>
      </c>
      <c r="P11" s="16" t="s">
        <v>43</v>
      </c>
    </row>
    <row r="12" spans="1:16" ht="39.6" x14ac:dyDescent="0.3">
      <c r="A12" s="16" t="s">
        <v>111</v>
      </c>
      <c r="B12" s="17" t="s">
        <v>31</v>
      </c>
      <c r="C12" s="17" t="s">
        <v>61</v>
      </c>
      <c r="D12" s="17" t="s">
        <v>112</v>
      </c>
      <c r="E12" s="17" t="s">
        <v>113</v>
      </c>
      <c r="F12" s="17" t="s">
        <v>114</v>
      </c>
      <c r="G12" s="17" t="s">
        <v>115</v>
      </c>
      <c r="H12" s="18">
        <v>3</v>
      </c>
      <c r="I12" s="18">
        <v>2</v>
      </c>
      <c r="J12" s="18">
        <v>2</v>
      </c>
      <c r="K12" s="19">
        <f t="shared" si="0"/>
        <v>2.3333333333333335</v>
      </c>
      <c r="L12" s="19">
        <f t="shared" si="1"/>
        <v>2</v>
      </c>
      <c r="M12" s="16" t="str">
        <f>IF(L12&gt;=Legend!$B$11,"Strong overlap",IF(L12&gt;=Legend!$B$12,"Partial overlap",IF(L12&gt;=Legend!$B$13,"Weak / indirect","Gap")))</f>
        <v>Partial overlap</v>
      </c>
      <c r="N12" s="17" t="s">
        <v>116</v>
      </c>
      <c r="O12" s="17" t="s">
        <v>117</v>
      </c>
      <c r="P12" s="16" t="s">
        <v>43</v>
      </c>
    </row>
    <row r="13" spans="1:16" ht="26.4" x14ac:dyDescent="0.3">
      <c r="A13" s="16" t="s">
        <v>118</v>
      </c>
      <c r="B13" s="17" t="s">
        <v>31</v>
      </c>
      <c r="C13" s="17" t="s">
        <v>61</v>
      </c>
      <c r="D13" s="17" t="s">
        <v>119</v>
      </c>
      <c r="E13" s="17" t="s">
        <v>120</v>
      </c>
      <c r="F13" s="17" t="s">
        <v>121</v>
      </c>
      <c r="G13" s="17" t="s">
        <v>122</v>
      </c>
      <c r="H13" s="18">
        <v>3</v>
      </c>
      <c r="I13" s="18">
        <v>1</v>
      </c>
      <c r="J13" s="18">
        <v>1</v>
      </c>
      <c r="K13" s="19">
        <f t="shared" si="0"/>
        <v>1.6666666666666667</v>
      </c>
      <c r="L13" s="19">
        <f t="shared" si="1"/>
        <v>1</v>
      </c>
      <c r="M13" s="16" t="str">
        <f>IF(L13&gt;=Legend!$B$11,"Strong overlap",IF(L13&gt;=Legend!$B$12,"Partial overlap",IF(L13&gt;=Legend!$B$13,"Weak / indirect","Gap")))</f>
        <v>Weak / indirect</v>
      </c>
      <c r="N13" s="17" t="s">
        <v>123</v>
      </c>
      <c r="O13" s="17" t="s">
        <v>124</v>
      </c>
      <c r="P13" s="16" t="s">
        <v>44</v>
      </c>
    </row>
    <row r="14" spans="1:16" ht="39.6" x14ac:dyDescent="0.3">
      <c r="A14" s="16" t="s">
        <v>125</v>
      </c>
      <c r="B14" s="17" t="s">
        <v>32</v>
      </c>
      <c r="C14" s="17" t="s">
        <v>83</v>
      </c>
      <c r="D14" s="17" t="s">
        <v>126</v>
      </c>
      <c r="E14" s="17" t="s">
        <v>127</v>
      </c>
      <c r="F14" s="17" t="s">
        <v>128</v>
      </c>
      <c r="G14" s="17" t="s">
        <v>129</v>
      </c>
      <c r="H14" s="18">
        <v>3</v>
      </c>
      <c r="I14" s="18">
        <v>1</v>
      </c>
      <c r="J14" s="18">
        <v>1</v>
      </c>
      <c r="K14" s="19">
        <f t="shared" si="0"/>
        <v>1.6666666666666667</v>
      </c>
      <c r="L14" s="19">
        <f t="shared" si="1"/>
        <v>1</v>
      </c>
      <c r="M14" s="16" t="str">
        <f>IF(L14&gt;=Legend!$B$11,"Strong overlap",IF(L14&gt;=Legend!$B$12,"Partial overlap",IF(L14&gt;=Legend!$B$13,"Weak / indirect","Gap")))</f>
        <v>Weak / indirect</v>
      </c>
      <c r="N14" s="17" t="s">
        <v>130</v>
      </c>
      <c r="O14" s="17" t="s">
        <v>131</v>
      </c>
      <c r="P14" s="16" t="s">
        <v>42</v>
      </c>
    </row>
    <row r="15" spans="1:16" ht="39.6" x14ac:dyDescent="0.3">
      <c r="A15" s="16" t="s">
        <v>132</v>
      </c>
      <c r="B15" s="17" t="s">
        <v>32</v>
      </c>
      <c r="C15" s="17" t="s">
        <v>61</v>
      </c>
      <c r="D15" s="17" t="s">
        <v>133</v>
      </c>
      <c r="E15" s="17" t="s">
        <v>134</v>
      </c>
      <c r="F15" s="17" t="s">
        <v>135</v>
      </c>
      <c r="G15" s="17" t="s">
        <v>136</v>
      </c>
      <c r="H15" s="18">
        <v>3</v>
      </c>
      <c r="I15" s="18">
        <v>1</v>
      </c>
      <c r="J15" s="18">
        <v>1</v>
      </c>
      <c r="K15" s="19">
        <f t="shared" si="0"/>
        <v>1.6666666666666667</v>
      </c>
      <c r="L15" s="19">
        <f t="shared" si="1"/>
        <v>1</v>
      </c>
      <c r="M15" s="16" t="str">
        <f>IF(L15&gt;=Legend!$B$11,"Strong overlap",IF(L15&gt;=Legend!$B$12,"Partial overlap",IF(L15&gt;=Legend!$B$13,"Weak / indirect","Gap")))</f>
        <v>Weak / indirect</v>
      </c>
      <c r="N15" s="17" t="s">
        <v>137</v>
      </c>
      <c r="O15" s="17" t="s">
        <v>138</v>
      </c>
      <c r="P15" s="16" t="s">
        <v>43</v>
      </c>
    </row>
    <row r="16" spans="1:16" ht="26.4" x14ac:dyDescent="0.3">
      <c r="A16" s="16" t="s">
        <v>139</v>
      </c>
      <c r="B16" s="17" t="s">
        <v>32</v>
      </c>
      <c r="C16" s="17" t="s">
        <v>83</v>
      </c>
      <c r="D16" s="17" t="s">
        <v>140</v>
      </c>
      <c r="E16" s="17" t="s">
        <v>141</v>
      </c>
      <c r="F16" s="17" t="s">
        <v>142</v>
      </c>
      <c r="G16" s="17" t="s">
        <v>143</v>
      </c>
      <c r="H16" s="18">
        <v>1</v>
      </c>
      <c r="I16" s="18">
        <v>1</v>
      </c>
      <c r="J16" s="18">
        <v>0</v>
      </c>
      <c r="K16" s="19">
        <f t="shared" si="0"/>
        <v>0.66666666666666663</v>
      </c>
      <c r="L16" s="19">
        <f t="shared" si="1"/>
        <v>0.5</v>
      </c>
      <c r="M16" s="16" t="str">
        <f>IF(L16&gt;=Legend!$B$11,"Strong overlap",IF(L16&gt;=Legend!$B$12,"Partial overlap",IF(L16&gt;=Legend!$B$13,"Weak / indirect","Gap")))</f>
        <v>Weak / indirect</v>
      </c>
      <c r="N16" s="17" t="s">
        <v>144</v>
      </c>
      <c r="O16" s="17" t="s">
        <v>145</v>
      </c>
      <c r="P16" s="16" t="s">
        <v>42</v>
      </c>
    </row>
    <row r="17" spans="1:16" ht="26.4" x14ac:dyDescent="0.3">
      <c r="A17" s="16" t="s">
        <v>146</v>
      </c>
      <c r="B17" s="17" t="s">
        <v>32</v>
      </c>
      <c r="C17" s="17" t="s">
        <v>83</v>
      </c>
      <c r="D17" s="17" t="s">
        <v>147</v>
      </c>
      <c r="E17" s="17" t="s">
        <v>148</v>
      </c>
      <c r="F17" s="17" t="s">
        <v>149</v>
      </c>
      <c r="G17" s="17" t="s">
        <v>150</v>
      </c>
      <c r="H17" s="18">
        <v>2</v>
      </c>
      <c r="I17" s="18">
        <v>1</v>
      </c>
      <c r="J17" s="18">
        <v>1</v>
      </c>
      <c r="K17" s="19">
        <f t="shared" si="0"/>
        <v>1.3333333333333333</v>
      </c>
      <c r="L17" s="19">
        <f t="shared" si="1"/>
        <v>1</v>
      </c>
      <c r="M17" s="16" t="str">
        <f>IF(L17&gt;=Legend!$B$11,"Strong overlap",IF(L17&gt;=Legend!$B$12,"Partial overlap",IF(L17&gt;=Legend!$B$13,"Weak / indirect","Gap")))</f>
        <v>Weak / indirect</v>
      </c>
      <c r="N17" s="17" t="s">
        <v>151</v>
      </c>
      <c r="O17" s="17" t="s">
        <v>152</v>
      </c>
      <c r="P17" s="16" t="s">
        <v>44</v>
      </c>
    </row>
    <row r="18" spans="1:16" ht="39.6" x14ac:dyDescent="0.3">
      <c r="A18" s="16" t="s">
        <v>153</v>
      </c>
      <c r="B18" s="17" t="s">
        <v>32</v>
      </c>
      <c r="C18" s="17" t="s">
        <v>83</v>
      </c>
      <c r="D18" s="17" t="s">
        <v>154</v>
      </c>
      <c r="E18" s="17" t="s">
        <v>155</v>
      </c>
      <c r="F18" s="17" t="s">
        <v>156</v>
      </c>
      <c r="G18" s="17" t="s">
        <v>157</v>
      </c>
      <c r="H18" s="18">
        <v>2</v>
      </c>
      <c r="I18" s="18">
        <v>2</v>
      </c>
      <c r="J18" s="18">
        <v>1</v>
      </c>
      <c r="K18" s="19">
        <f t="shared" si="0"/>
        <v>1.6666666666666667</v>
      </c>
      <c r="L18" s="19">
        <f t="shared" si="1"/>
        <v>1.5</v>
      </c>
      <c r="M18" s="16" t="str">
        <f>IF(L18&gt;=Legend!$B$11,"Strong overlap",IF(L18&gt;=Legend!$B$12,"Partial overlap",IF(L18&gt;=Legend!$B$13,"Weak / indirect","Gap")))</f>
        <v>Partial overlap</v>
      </c>
      <c r="N18" s="17" t="s">
        <v>158</v>
      </c>
      <c r="O18" s="17" t="s">
        <v>159</v>
      </c>
      <c r="P18" s="16" t="s">
        <v>42</v>
      </c>
    </row>
    <row r="19" spans="1:16" ht="39.6" x14ac:dyDescent="0.3">
      <c r="A19" s="16" t="s">
        <v>160</v>
      </c>
      <c r="B19" s="17" t="s">
        <v>33</v>
      </c>
      <c r="C19" s="17" t="s">
        <v>83</v>
      </c>
      <c r="D19" s="17" t="s">
        <v>161</v>
      </c>
      <c r="E19" s="17" t="s">
        <v>162</v>
      </c>
      <c r="F19" s="17" t="s">
        <v>163</v>
      </c>
      <c r="G19" s="17" t="s">
        <v>164</v>
      </c>
      <c r="H19" s="18">
        <v>0</v>
      </c>
      <c r="I19" s="18">
        <v>0</v>
      </c>
      <c r="J19" s="18">
        <v>0</v>
      </c>
      <c r="K19" s="19">
        <f t="shared" si="0"/>
        <v>0</v>
      </c>
      <c r="L19" s="19">
        <f t="shared" si="1"/>
        <v>0</v>
      </c>
      <c r="M19" s="16" t="str">
        <f>IF(L19&gt;=Legend!$B$11,"Strong overlap",IF(L19&gt;=Legend!$B$12,"Partial overlap",IF(L19&gt;=Legend!$B$13,"Weak / indirect","Gap")))</f>
        <v>Gap</v>
      </c>
      <c r="N19" s="17" t="s">
        <v>165</v>
      </c>
      <c r="O19" s="17" t="s">
        <v>166</v>
      </c>
      <c r="P19" s="16" t="s">
        <v>41</v>
      </c>
    </row>
    <row r="20" spans="1:16" ht="39.6" x14ac:dyDescent="0.3">
      <c r="A20" s="16" t="s">
        <v>167</v>
      </c>
      <c r="B20" s="17" t="s">
        <v>33</v>
      </c>
      <c r="C20" s="17" t="s">
        <v>83</v>
      </c>
      <c r="D20" s="17" t="s">
        <v>168</v>
      </c>
      <c r="E20" s="17" t="s">
        <v>169</v>
      </c>
      <c r="F20" s="17" t="s">
        <v>163</v>
      </c>
      <c r="G20" s="17" t="s">
        <v>170</v>
      </c>
      <c r="H20" s="18">
        <v>0</v>
      </c>
      <c r="I20" s="18">
        <v>0</v>
      </c>
      <c r="J20" s="18">
        <v>0</v>
      </c>
      <c r="K20" s="19">
        <f t="shared" si="0"/>
        <v>0</v>
      </c>
      <c r="L20" s="19">
        <f t="shared" si="1"/>
        <v>0</v>
      </c>
      <c r="M20" s="16" t="str">
        <f>IF(L20&gt;=Legend!$B$11,"Strong overlap",IF(L20&gt;=Legend!$B$12,"Partial overlap",IF(L20&gt;=Legend!$B$13,"Weak / indirect","Gap")))</f>
        <v>Gap</v>
      </c>
      <c r="N20" s="17" t="s">
        <v>171</v>
      </c>
      <c r="O20" s="17" t="s">
        <v>172</v>
      </c>
      <c r="P20" s="16" t="s">
        <v>41</v>
      </c>
    </row>
    <row r="21" spans="1:16" ht="39.6" x14ac:dyDescent="0.3">
      <c r="A21" s="16" t="s">
        <v>173</v>
      </c>
      <c r="B21" s="17" t="s">
        <v>33</v>
      </c>
      <c r="C21" s="17" t="s">
        <v>83</v>
      </c>
      <c r="D21" s="17" t="s">
        <v>174</v>
      </c>
      <c r="E21" s="17" t="s">
        <v>169</v>
      </c>
      <c r="F21" s="17" t="s">
        <v>163</v>
      </c>
      <c r="G21" s="17" t="s">
        <v>175</v>
      </c>
      <c r="H21" s="18">
        <v>0</v>
      </c>
      <c r="I21" s="18">
        <v>0</v>
      </c>
      <c r="J21" s="18">
        <v>0</v>
      </c>
      <c r="K21" s="19">
        <f t="shared" si="0"/>
        <v>0</v>
      </c>
      <c r="L21" s="19">
        <f t="shared" si="1"/>
        <v>0</v>
      </c>
      <c r="M21" s="16" t="str">
        <f>IF(L21&gt;=Legend!$B$11,"Strong overlap",IF(L21&gt;=Legend!$B$12,"Partial overlap",IF(L21&gt;=Legend!$B$13,"Weak / indirect","Gap")))</f>
        <v>Gap</v>
      </c>
      <c r="N21" s="17" t="s">
        <v>176</v>
      </c>
      <c r="O21" s="17" t="s">
        <v>177</v>
      </c>
      <c r="P21" s="16" t="s">
        <v>41</v>
      </c>
    </row>
    <row r="22" spans="1:16" ht="26.4" x14ac:dyDescent="0.3">
      <c r="A22" s="16" t="s">
        <v>178</v>
      </c>
      <c r="B22" s="17" t="s">
        <v>34</v>
      </c>
      <c r="C22" s="17" t="s">
        <v>83</v>
      </c>
      <c r="D22" s="17" t="s">
        <v>179</v>
      </c>
      <c r="E22" s="17" t="s">
        <v>180</v>
      </c>
      <c r="F22" s="17" t="s">
        <v>163</v>
      </c>
      <c r="G22" s="17" t="s">
        <v>181</v>
      </c>
      <c r="H22" s="18">
        <v>0</v>
      </c>
      <c r="I22" s="18">
        <v>1</v>
      </c>
      <c r="J22" s="18">
        <v>0</v>
      </c>
      <c r="K22" s="19">
        <f t="shared" si="0"/>
        <v>0.33333333333333331</v>
      </c>
      <c r="L22" s="19">
        <f t="shared" si="1"/>
        <v>0.5</v>
      </c>
      <c r="M22" s="16" t="str">
        <f>IF(L22&gt;=Legend!$B$11,"Strong overlap",IF(L22&gt;=Legend!$B$12,"Partial overlap",IF(L22&gt;=Legend!$B$13,"Weak / indirect","Gap")))</f>
        <v>Weak / indirect</v>
      </c>
      <c r="N22" s="17" t="s">
        <v>182</v>
      </c>
      <c r="O22" s="17" t="s">
        <v>183</v>
      </c>
      <c r="P22" s="16" t="s">
        <v>42</v>
      </c>
    </row>
    <row r="23" spans="1:16" ht="26.4" x14ac:dyDescent="0.3">
      <c r="A23" s="16" t="s">
        <v>184</v>
      </c>
      <c r="B23" s="17" t="s">
        <v>34</v>
      </c>
      <c r="C23" s="17" t="s">
        <v>83</v>
      </c>
      <c r="D23" s="17" t="s">
        <v>185</v>
      </c>
      <c r="E23" s="17" t="s">
        <v>186</v>
      </c>
      <c r="F23" s="17" t="s">
        <v>187</v>
      </c>
      <c r="G23" s="17" t="s">
        <v>188</v>
      </c>
      <c r="H23" s="18">
        <v>1</v>
      </c>
      <c r="I23" s="18">
        <v>2</v>
      </c>
      <c r="J23" s="18">
        <v>0</v>
      </c>
      <c r="K23" s="19">
        <f t="shared" si="0"/>
        <v>1</v>
      </c>
      <c r="L23" s="19">
        <f t="shared" si="1"/>
        <v>1</v>
      </c>
      <c r="M23" s="16" t="str">
        <f>IF(L23&gt;=Legend!$B$11,"Strong overlap",IF(L23&gt;=Legend!$B$12,"Partial overlap",IF(L23&gt;=Legend!$B$13,"Weak / indirect","Gap")))</f>
        <v>Weak / indirect</v>
      </c>
      <c r="N23" s="17" t="s">
        <v>189</v>
      </c>
      <c r="O23" s="17" t="s">
        <v>190</v>
      </c>
      <c r="P23" s="16" t="s">
        <v>42</v>
      </c>
    </row>
    <row r="24" spans="1:16" ht="39.6" x14ac:dyDescent="0.3">
      <c r="A24" s="16" t="s">
        <v>191</v>
      </c>
      <c r="B24" s="17" t="s">
        <v>34</v>
      </c>
      <c r="C24" s="17" t="s">
        <v>83</v>
      </c>
      <c r="D24" s="17" t="s">
        <v>192</v>
      </c>
      <c r="E24" s="17" t="s">
        <v>193</v>
      </c>
      <c r="F24" s="17" t="s">
        <v>163</v>
      </c>
      <c r="G24" s="17" t="s">
        <v>194</v>
      </c>
      <c r="H24" s="18">
        <v>0</v>
      </c>
      <c r="I24" s="18">
        <v>0</v>
      </c>
      <c r="J24" s="18">
        <v>0</v>
      </c>
      <c r="K24" s="19">
        <f t="shared" si="0"/>
        <v>0</v>
      </c>
      <c r="L24" s="19">
        <f t="shared" si="1"/>
        <v>0</v>
      </c>
      <c r="M24" s="16" t="str">
        <f>IF(L24&gt;=Legend!$B$11,"Strong overlap",IF(L24&gt;=Legend!$B$12,"Partial overlap",IF(L24&gt;=Legend!$B$13,"Weak / indirect","Gap")))</f>
        <v>Gap</v>
      </c>
      <c r="N24" s="17" t="s">
        <v>195</v>
      </c>
      <c r="O24" s="17" t="s">
        <v>196</v>
      </c>
      <c r="P24" s="16" t="s">
        <v>41</v>
      </c>
    </row>
    <row r="25" spans="1:16" ht="39.6" x14ac:dyDescent="0.3">
      <c r="A25" s="16" t="s">
        <v>197</v>
      </c>
      <c r="B25" s="17" t="s">
        <v>35</v>
      </c>
      <c r="C25" s="17" t="s">
        <v>198</v>
      </c>
      <c r="D25" s="17" t="s">
        <v>199</v>
      </c>
      <c r="E25" s="17" t="s">
        <v>200</v>
      </c>
      <c r="F25" s="17" t="s">
        <v>201</v>
      </c>
      <c r="G25" s="17" t="s">
        <v>202</v>
      </c>
      <c r="H25" s="18">
        <v>3</v>
      </c>
      <c r="I25" s="18">
        <v>3</v>
      </c>
      <c r="J25" s="18">
        <v>3</v>
      </c>
      <c r="K25" s="19">
        <f t="shared" si="0"/>
        <v>3</v>
      </c>
      <c r="L25" s="19">
        <f t="shared" si="1"/>
        <v>3</v>
      </c>
      <c r="M25" s="16" t="str">
        <f>IF(L25&gt;=Legend!$B$11,"Strong overlap",IF(L25&gt;=Legend!$B$12,"Partial overlap",IF(L25&gt;=Legend!$B$13,"Weak / indirect","Gap")))</f>
        <v>Strong overlap</v>
      </c>
      <c r="N25" s="17" t="s">
        <v>203</v>
      </c>
      <c r="O25" s="17" t="s">
        <v>204</v>
      </c>
      <c r="P25" s="16" t="s">
        <v>42</v>
      </c>
    </row>
    <row r="26" spans="1:16" ht="26.4" x14ac:dyDescent="0.3">
      <c r="A26" s="16" t="s">
        <v>205</v>
      </c>
      <c r="B26" s="17" t="s">
        <v>35</v>
      </c>
      <c r="C26" s="17" t="s">
        <v>198</v>
      </c>
      <c r="D26" s="17" t="s">
        <v>206</v>
      </c>
      <c r="E26" s="17" t="s">
        <v>207</v>
      </c>
      <c r="F26" s="17" t="s">
        <v>208</v>
      </c>
      <c r="G26" s="17" t="s">
        <v>209</v>
      </c>
      <c r="H26" s="18">
        <v>3</v>
      </c>
      <c r="I26" s="18">
        <v>3</v>
      </c>
      <c r="J26" s="18">
        <v>3</v>
      </c>
      <c r="K26" s="19">
        <f t="shared" si="0"/>
        <v>3</v>
      </c>
      <c r="L26" s="19">
        <f t="shared" si="1"/>
        <v>3</v>
      </c>
      <c r="M26" s="16" t="str">
        <f>IF(L26&gt;=Legend!$B$11,"Strong overlap",IF(L26&gt;=Legend!$B$12,"Partial overlap",IF(L26&gt;=Legend!$B$13,"Weak / indirect","Gap")))</f>
        <v>Strong overlap</v>
      </c>
      <c r="N26" s="17" t="s">
        <v>210</v>
      </c>
      <c r="O26" s="17" t="s">
        <v>211</v>
      </c>
      <c r="P26" s="16" t="s">
        <v>42</v>
      </c>
    </row>
    <row r="27" spans="1:16" ht="39.6" x14ac:dyDescent="0.3">
      <c r="A27" s="16" t="s">
        <v>212</v>
      </c>
      <c r="B27" s="17" t="s">
        <v>35</v>
      </c>
      <c r="C27" s="17" t="s">
        <v>198</v>
      </c>
      <c r="D27" s="17" t="s">
        <v>213</v>
      </c>
      <c r="E27" s="17" t="s">
        <v>214</v>
      </c>
      <c r="F27" s="17" t="s">
        <v>215</v>
      </c>
      <c r="G27" s="17" t="s">
        <v>216</v>
      </c>
      <c r="H27" s="18">
        <v>3</v>
      </c>
      <c r="I27" s="18">
        <v>3</v>
      </c>
      <c r="J27" s="18">
        <v>3</v>
      </c>
      <c r="K27" s="19">
        <f t="shared" si="0"/>
        <v>3</v>
      </c>
      <c r="L27" s="19">
        <f t="shared" si="1"/>
        <v>3</v>
      </c>
      <c r="M27" s="16" t="str">
        <f>IF(L27&gt;=Legend!$B$11,"Strong overlap",IF(L27&gt;=Legend!$B$12,"Partial overlap",IF(L27&gt;=Legend!$B$13,"Weak / indirect","Gap")))</f>
        <v>Strong overlap</v>
      </c>
      <c r="N27" s="17" t="s">
        <v>217</v>
      </c>
      <c r="O27" s="17" t="s">
        <v>218</v>
      </c>
      <c r="P27" s="16" t="s">
        <v>42</v>
      </c>
    </row>
    <row r="28" spans="1:16" ht="39.6" x14ac:dyDescent="0.3">
      <c r="A28" s="16" t="s">
        <v>219</v>
      </c>
      <c r="B28" s="17" t="s">
        <v>35</v>
      </c>
      <c r="C28" s="17" t="s">
        <v>198</v>
      </c>
      <c r="D28" s="17" t="s">
        <v>220</v>
      </c>
      <c r="E28" s="17" t="s">
        <v>221</v>
      </c>
      <c r="F28" s="17" t="s">
        <v>222</v>
      </c>
      <c r="G28" s="17" t="s">
        <v>223</v>
      </c>
      <c r="H28" s="18">
        <v>3</v>
      </c>
      <c r="I28" s="18">
        <v>2</v>
      </c>
      <c r="J28" s="18">
        <v>2</v>
      </c>
      <c r="K28" s="19">
        <f t="shared" si="0"/>
        <v>2.3333333333333335</v>
      </c>
      <c r="L28" s="19">
        <f t="shared" si="1"/>
        <v>2</v>
      </c>
      <c r="M28" s="16" t="str">
        <f>IF(L28&gt;=Legend!$B$11,"Strong overlap",IF(L28&gt;=Legend!$B$12,"Partial overlap",IF(L28&gt;=Legend!$B$13,"Weak / indirect","Gap")))</f>
        <v>Partial overlap</v>
      </c>
      <c r="N28" s="17" t="s">
        <v>224</v>
      </c>
      <c r="O28" s="17" t="s">
        <v>225</v>
      </c>
      <c r="P28" s="16" t="s">
        <v>43</v>
      </c>
    </row>
    <row r="29" spans="1:16" ht="39.6" x14ac:dyDescent="0.3">
      <c r="A29" s="16" t="s">
        <v>226</v>
      </c>
      <c r="B29" s="17" t="s">
        <v>35</v>
      </c>
      <c r="C29" s="17" t="s">
        <v>198</v>
      </c>
      <c r="D29" s="17" t="s">
        <v>227</v>
      </c>
      <c r="E29" s="17" t="s">
        <v>228</v>
      </c>
      <c r="F29" s="17" t="s">
        <v>229</v>
      </c>
      <c r="G29" s="17" t="s">
        <v>230</v>
      </c>
      <c r="H29" s="18">
        <v>3</v>
      </c>
      <c r="I29" s="18">
        <v>3</v>
      </c>
      <c r="J29" s="18">
        <v>3</v>
      </c>
      <c r="K29" s="19">
        <f t="shared" si="0"/>
        <v>3</v>
      </c>
      <c r="L29" s="19">
        <f t="shared" si="1"/>
        <v>3</v>
      </c>
      <c r="M29" s="16" t="str">
        <f>IF(L29&gt;=Legend!$B$11,"Strong overlap",IF(L29&gt;=Legend!$B$12,"Partial overlap",IF(L29&gt;=Legend!$B$13,"Weak / indirect","Gap")))</f>
        <v>Strong overlap</v>
      </c>
      <c r="N29" s="17" t="s">
        <v>231</v>
      </c>
      <c r="O29" s="17" t="s">
        <v>232</v>
      </c>
      <c r="P29" s="16" t="s">
        <v>43</v>
      </c>
    </row>
    <row r="30" spans="1:16" ht="26.4" x14ac:dyDescent="0.3">
      <c r="A30" s="16" t="s">
        <v>233</v>
      </c>
      <c r="B30" s="17" t="s">
        <v>35</v>
      </c>
      <c r="C30" s="17" t="s">
        <v>198</v>
      </c>
      <c r="D30" s="17" t="s">
        <v>234</v>
      </c>
      <c r="E30" s="17" t="s">
        <v>235</v>
      </c>
      <c r="F30" s="17" t="s">
        <v>236</v>
      </c>
      <c r="G30" s="17" t="s">
        <v>237</v>
      </c>
      <c r="H30" s="18">
        <v>3</v>
      </c>
      <c r="I30" s="18">
        <v>2</v>
      </c>
      <c r="J30" s="18">
        <v>2</v>
      </c>
      <c r="K30" s="19">
        <f t="shared" si="0"/>
        <v>2.3333333333333335</v>
      </c>
      <c r="L30" s="19">
        <f t="shared" si="1"/>
        <v>2</v>
      </c>
      <c r="M30" s="16" t="str">
        <f>IF(L30&gt;=Legend!$B$11,"Strong overlap",IF(L30&gt;=Legend!$B$12,"Partial overlap",IF(L30&gt;=Legend!$B$13,"Weak / indirect","Gap")))</f>
        <v>Partial overlap</v>
      </c>
      <c r="N30" s="17" t="s">
        <v>238</v>
      </c>
      <c r="O30" s="17" t="s">
        <v>239</v>
      </c>
      <c r="P30" s="16" t="s">
        <v>43</v>
      </c>
    </row>
    <row r="31" spans="1:16" ht="26.4" x14ac:dyDescent="0.3">
      <c r="A31" s="16" t="s">
        <v>240</v>
      </c>
      <c r="B31" s="17" t="s">
        <v>35</v>
      </c>
      <c r="C31" s="17" t="s">
        <v>198</v>
      </c>
      <c r="D31" s="17" t="s">
        <v>241</v>
      </c>
      <c r="E31" s="17" t="s">
        <v>242</v>
      </c>
      <c r="F31" s="17" t="s">
        <v>243</v>
      </c>
      <c r="G31" s="17" t="s">
        <v>237</v>
      </c>
      <c r="H31" s="18">
        <v>3</v>
      </c>
      <c r="I31" s="18">
        <v>2</v>
      </c>
      <c r="J31" s="18">
        <v>2</v>
      </c>
      <c r="K31" s="19">
        <f t="shared" si="0"/>
        <v>2.3333333333333335</v>
      </c>
      <c r="L31" s="19">
        <f t="shared" si="1"/>
        <v>2</v>
      </c>
      <c r="M31" s="16" t="str">
        <f>IF(L31&gt;=Legend!$B$11,"Strong overlap",IF(L31&gt;=Legend!$B$12,"Partial overlap",IF(L31&gt;=Legend!$B$13,"Weak / indirect","Gap")))</f>
        <v>Partial overlap</v>
      </c>
      <c r="N31" s="17" t="s">
        <v>244</v>
      </c>
      <c r="O31" s="17" t="s">
        <v>245</v>
      </c>
      <c r="P31" s="16" t="s">
        <v>44</v>
      </c>
    </row>
    <row r="32" spans="1:16" ht="26.4" x14ac:dyDescent="0.3">
      <c r="A32" s="16" t="s">
        <v>246</v>
      </c>
      <c r="B32" s="17" t="s">
        <v>35</v>
      </c>
      <c r="C32" s="17" t="s">
        <v>198</v>
      </c>
      <c r="D32" s="17" t="s">
        <v>247</v>
      </c>
      <c r="E32" s="17" t="s">
        <v>248</v>
      </c>
      <c r="F32" s="17" t="s">
        <v>249</v>
      </c>
      <c r="G32" s="17" t="s">
        <v>250</v>
      </c>
      <c r="H32" s="18">
        <v>3</v>
      </c>
      <c r="I32" s="18">
        <v>1</v>
      </c>
      <c r="J32" s="18">
        <v>1</v>
      </c>
      <c r="K32" s="19">
        <f t="shared" si="0"/>
        <v>1.6666666666666667</v>
      </c>
      <c r="L32" s="19">
        <f t="shared" si="1"/>
        <v>1</v>
      </c>
      <c r="M32" s="16" t="str">
        <f>IF(L32&gt;=Legend!$B$11,"Strong overlap",IF(L32&gt;=Legend!$B$12,"Partial overlap",IF(L32&gt;=Legend!$B$13,"Weak / indirect","Gap")))</f>
        <v>Weak / indirect</v>
      </c>
      <c r="N32" s="17" t="s">
        <v>251</v>
      </c>
      <c r="O32" s="17" t="s">
        <v>252</v>
      </c>
      <c r="P32" s="16" t="s">
        <v>44</v>
      </c>
    </row>
    <row r="33" spans="1:16" ht="26.4" x14ac:dyDescent="0.3">
      <c r="A33" s="16" t="s">
        <v>253</v>
      </c>
      <c r="B33" s="17" t="s">
        <v>35</v>
      </c>
      <c r="C33" s="17" t="s">
        <v>198</v>
      </c>
      <c r="D33" s="17" t="s">
        <v>254</v>
      </c>
      <c r="E33" s="17" t="s">
        <v>255</v>
      </c>
      <c r="F33" s="17" t="s">
        <v>256</v>
      </c>
      <c r="G33" s="17" t="s">
        <v>250</v>
      </c>
      <c r="H33" s="18">
        <v>3</v>
      </c>
      <c r="I33" s="18">
        <v>1</v>
      </c>
      <c r="J33" s="18">
        <v>1</v>
      </c>
      <c r="K33" s="19">
        <f t="shared" si="0"/>
        <v>1.6666666666666667</v>
      </c>
      <c r="L33" s="19">
        <f t="shared" si="1"/>
        <v>1</v>
      </c>
      <c r="M33" s="16" t="str">
        <f>IF(L33&gt;=Legend!$B$11,"Strong overlap",IF(L33&gt;=Legend!$B$12,"Partial overlap",IF(L33&gt;=Legend!$B$13,"Weak / indirect","Gap")))</f>
        <v>Weak / indirect</v>
      </c>
      <c r="N33" s="17" t="s">
        <v>257</v>
      </c>
      <c r="O33" s="17" t="s">
        <v>258</v>
      </c>
      <c r="P33" s="16" t="s">
        <v>44</v>
      </c>
    </row>
    <row r="34" spans="1:16" ht="26.4" x14ac:dyDescent="0.3">
      <c r="A34" s="16" t="s">
        <v>259</v>
      </c>
      <c r="B34" s="17" t="s">
        <v>36</v>
      </c>
      <c r="C34" s="17" t="s">
        <v>61</v>
      </c>
      <c r="D34" s="17" t="s">
        <v>260</v>
      </c>
      <c r="E34" s="17" t="s">
        <v>261</v>
      </c>
      <c r="F34" s="17" t="s">
        <v>262</v>
      </c>
      <c r="G34" s="17" t="s">
        <v>263</v>
      </c>
      <c r="H34" s="18">
        <v>3</v>
      </c>
      <c r="I34" s="18">
        <v>2</v>
      </c>
      <c r="J34" s="18">
        <v>2</v>
      </c>
      <c r="K34" s="19">
        <f t="shared" si="0"/>
        <v>2.3333333333333335</v>
      </c>
      <c r="L34" s="19">
        <f t="shared" si="1"/>
        <v>2</v>
      </c>
      <c r="M34" s="16" t="str">
        <f>IF(L34&gt;=Legend!$B$11,"Strong overlap",IF(L34&gt;=Legend!$B$12,"Partial overlap",IF(L34&gt;=Legend!$B$13,"Weak / indirect","Gap")))</f>
        <v>Partial overlap</v>
      </c>
      <c r="N34" s="17" t="s">
        <v>264</v>
      </c>
      <c r="O34" s="17" t="s">
        <v>265</v>
      </c>
      <c r="P34" s="16" t="s">
        <v>43</v>
      </c>
    </row>
    <row r="35" spans="1:16" ht="26.4" x14ac:dyDescent="0.3">
      <c r="A35" s="16" t="s">
        <v>266</v>
      </c>
      <c r="B35" s="17" t="s">
        <v>36</v>
      </c>
      <c r="C35" s="17" t="s">
        <v>61</v>
      </c>
      <c r="D35" s="17" t="s">
        <v>267</v>
      </c>
      <c r="E35" s="17" t="s">
        <v>268</v>
      </c>
      <c r="F35" s="17" t="s">
        <v>269</v>
      </c>
      <c r="G35" s="17" t="s">
        <v>122</v>
      </c>
      <c r="H35" s="18">
        <v>3</v>
      </c>
      <c r="I35" s="18">
        <v>1</v>
      </c>
      <c r="J35" s="18">
        <v>1</v>
      </c>
      <c r="K35" s="19">
        <f t="shared" si="0"/>
        <v>1.6666666666666667</v>
      </c>
      <c r="L35" s="19">
        <f t="shared" si="1"/>
        <v>1</v>
      </c>
      <c r="M35" s="16" t="str">
        <f>IF(L35&gt;=Legend!$B$11,"Strong overlap",IF(L35&gt;=Legend!$B$12,"Partial overlap",IF(L35&gt;=Legend!$B$13,"Weak / indirect","Gap")))</f>
        <v>Weak / indirect</v>
      </c>
      <c r="N35" s="17" t="s">
        <v>270</v>
      </c>
      <c r="O35" s="17" t="s">
        <v>271</v>
      </c>
      <c r="P35" s="16" t="s">
        <v>44</v>
      </c>
    </row>
    <row r="36" spans="1:16" ht="39.6" x14ac:dyDescent="0.3">
      <c r="A36" s="16" t="s">
        <v>272</v>
      </c>
      <c r="B36" s="17" t="s">
        <v>37</v>
      </c>
      <c r="C36" s="17" t="s">
        <v>198</v>
      </c>
      <c r="D36" s="17" t="s">
        <v>273</v>
      </c>
      <c r="E36" s="17" t="s">
        <v>274</v>
      </c>
      <c r="F36" s="17" t="s">
        <v>275</v>
      </c>
      <c r="G36" s="17" t="s">
        <v>276</v>
      </c>
      <c r="H36" s="18">
        <v>3</v>
      </c>
      <c r="I36" s="18">
        <v>2</v>
      </c>
      <c r="J36" s="18">
        <v>2</v>
      </c>
      <c r="K36" s="19">
        <f t="shared" si="0"/>
        <v>2.3333333333333335</v>
      </c>
      <c r="L36" s="19">
        <f t="shared" si="1"/>
        <v>2</v>
      </c>
      <c r="M36" s="16" t="str">
        <f>IF(L36&gt;=Legend!$B$11,"Strong overlap",IF(L36&gt;=Legend!$B$12,"Partial overlap",IF(L36&gt;=Legend!$B$13,"Weak / indirect","Gap")))</f>
        <v>Partial overlap</v>
      </c>
      <c r="N36" s="17" t="s">
        <v>277</v>
      </c>
      <c r="O36" s="17" t="s">
        <v>278</v>
      </c>
      <c r="P36" s="16" t="s">
        <v>42</v>
      </c>
    </row>
    <row r="37" spans="1:16" ht="39.6" x14ac:dyDescent="0.3">
      <c r="A37" s="16" t="s">
        <v>279</v>
      </c>
      <c r="B37" s="17" t="s">
        <v>37</v>
      </c>
      <c r="C37" s="17" t="s">
        <v>83</v>
      </c>
      <c r="D37" s="17" t="s">
        <v>280</v>
      </c>
      <c r="E37" s="17" t="s">
        <v>281</v>
      </c>
      <c r="F37" s="17" t="s">
        <v>282</v>
      </c>
      <c r="G37" s="17" t="s">
        <v>283</v>
      </c>
      <c r="H37" s="18">
        <v>3</v>
      </c>
      <c r="I37" s="18">
        <v>1</v>
      </c>
      <c r="J37" s="18">
        <v>1</v>
      </c>
      <c r="K37" s="19">
        <f t="shared" si="0"/>
        <v>1.6666666666666667</v>
      </c>
      <c r="L37" s="19">
        <f t="shared" si="1"/>
        <v>1</v>
      </c>
      <c r="M37" s="16" t="str">
        <f>IF(L37&gt;=Legend!$B$11,"Strong overlap",IF(L37&gt;=Legend!$B$12,"Partial overlap",IF(L37&gt;=Legend!$B$13,"Weak / indirect","Gap")))</f>
        <v>Weak / indirect</v>
      </c>
      <c r="N37" s="17" t="s">
        <v>284</v>
      </c>
      <c r="O37" s="17" t="s">
        <v>285</v>
      </c>
      <c r="P37" s="16" t="s">
        <v>41</v>
      </c>
    </row>
    <row r="38" spans="1:16" ht="39.6" x14ac:dyDescent="0.3">
      <c r="A38" s="16" t="s">
        <v>286</v>
      </c>
      <c r="B38" s="17" t="s">
        <v>38</v>
      </c>
      <c r="C38" s="17" t="s">
        <v>198</v>
      </c>
      <c r="D38" s="17" t="s">
        <v>287</v>
      </c>
      <c r="E38" s="17" t="s">
        <v>288</v>
      </c>
      <c r="F38" s="17" t="s">
        <v>289</v>
      </c>
      <c r="G38" s="17" t="s">
        <v>290</v>
      </c>
      <c r="H38" s="18">
        <v>3</v>
      </c>
      <c r="I38" s="18">
        <v>2</v>
      </c>
      <c r="J38" s="18">
        <v>2</v>
      </c>
      <c r="K38" s="19">
        <f t="shared" si="0"/>
        <v>2.3333333333333335</v>
      </c>
      <c r="L38" s="19">
        <f t="shared" si="1"/>
        <v>2</v>
      </c>
      <c r="M38" s="16" t="str">
        <f>IF(L38&gt;=Legend!$B$11,"Strong overlap",IF(L38&gt;=Legend!$B$12,"Partial overlap",IF(L38&gt;=Legend!$B$13,"Weak / indirect","Gap")))</f>
        <v>Partial overlap</v>
      </c>
      <c r="N38" s="17" t="s">
        <v>291</v>
      </c>
      <c r="O38" s="17" t="s">
        <v>292</v>
      </c>
      <c r="P38" s="16" t="s">
        <v>42</v>
      </c>
    </row>
    <row r="39" spans="1:16" ht="39.6" x14ac:dyDescent="0.3">
      <c r="A39" s="16" t="s">
        <v>293</v>
      </c>
      <c r="B39" s="17" t="s">
        <v>38</v>
      </c>
      <c r="C39" s="17" t="s">
        <v>83</v>
      </c>
      <c r="D39" s="17" t="s">
        <v>294</v>
      </c>
      <c r="E39" s="17" t="s">
        <v>295</v>
      </c>
      <c r="F39" s="17" t="s">
        <v>296</v>
      </c>
      <c r="G39" s="17" t="s">
        <v>297</v>
      </c>
      <c r="H39" s="18">
        <v>1</v>
      </c>
      <c r="I39" s="18">
        <v>1</v>
      </c>
      <c r="J39" s="18">
        <v>0</v>
      </c>
      <c r="K39" s="19">
        <f t="shared" si="0"/>
        <v>0.66666666666666663</v>
      </c>
      <c r="L39" s="19">
        <f t="shared" si="1"/>
        <v>0.5</v>
      </c>
      <c r="M39" s="16" t="str">
        <f>IF(L39&gt;=Legend!$B$11,"Strong overlap",IF(L39&gt;=Legend!$B$12,"Partial overlap",IF(L39&gt;=Legend!$B$13,"Weak / indirect","Gap")))</f>
        <v>Weak / indirect</v>
      </c>
      <c r="N39" s="17" t="s">
        <v>298</v>
      </c>
      <c r="O39" s="17" t="s">
        <v>299</v>
      </c>
      <c r="P39" s="16" t="s">
        <v>43</v>
      </c>
    </row>
    <row r="40" spans="1:16" x14ac:dyDescent="0.3">
      <c r="A40" s="20"/>
      <c r="B40" s="20"/>
      <c r="C40" s="20"/>
      <c r="D40" s="20"/>
      <c r="E40" s="20"/>
      <c r="F40" s="20"/>
      <c r="G40" s="20"/>
      <c r="H40" s="20"/>
      <c r="I40" s="20"/>
      <c r="J40" s="20"/>
      <c r="K40" s="20"/>
      <c r="L40" s="20"/>
      <c r="M40" s="20"/>
      <c r="N40" s="20"/>
      <c r="O40" s="20"/>
      <c r="P40" s="20"/>
    </row>
  </sheetData>
  <autoFilter ref="A4:P39" xr:uid="{00000000-0009-0000-0000-000001000000}"/>
  <conditionalFormatting sqref="H5:J39">
    <cfRule type="colorScale" priority="2">
      <colorScale>
        <cfvo type="num" val="0"/>
        <cfvo type="num" val="1.5"/>
        <cfvo type="num" val="3"/>
        <color rgb="FFF8CBAD"/>
        <color rgb="FFFFF2CC"/>
        <color rgb="FFC6E0B4"/>
      </colorScale>
    </cfRule>
  </conditionalFormatting>
  <conditionalFormatting sqref="M5:M39">
    <cfRule type="expression" dxfId="11" priority="3">
      <formula>$M5="Strong overlap"</formula>
    </cfRule>
    <cfRule type="expression" dxfId="10" priority="4">
      <formula>$M5="Partial overlap"</formula>
    </cfRule>
    <cfRule type="expression" dxfId="9" priority="5">
      <formula>$M5="Weak / indirect"</formula>
    </cfRule>
    <cfRule type="expression" dxfId="8" priority="6">
      <formula>$M5="Gap"</formula>
    </cfRule>
  </conditionalFormatting>
  <conditionalFormatting sqref="P5:P39">
    <cfRule type="expression" dxfId="7" priority="7">
      <formula>$P5="Critical"</formula>
    </cfRule>
    <cfRule type="expression" dxfId="6" priority="8">
      <formula>$P5="High"</formula>
    </cfRule>
    <cfRule type="expression" dxfId="5" priority="9">
      <formula>$P5="Medium"</formula>
    </cfRule>
    <cfRule type="expression" dxfId="4" priority="10">
      <formula>$P5="Low"</formula>
    </cfRule>
  </conditionalFormatting>
  <pageMargins left="0.75" right="0.75" top="1" bottom="1" header="0.511811023622047" footer="0.511811023622047"/>
  <pageSetup paperSize="9" orientation="portrait" horizontalDpi="300" verticalDpi="300"/>
  <headerFooter>
    <oddHeader>&amp;C&amp;"SKF Sans Office"&amp;10&amp;K0000FE Confidentiality: C2 – Internal &amp;1#_x000D_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8"/>
  <sheetViews>
    <sheetView zoomScaleNormal="100" workbookViewId="0">
      <pane xSplit="2" ySplit="4" topLeftCell="H5" activePane="bottomRight" state="frozen"/>
      <selection pane="topRight" activeCell="C1" sqref="C1"/>
      <selection pane="bottomLeft" activeCell="A5" sqref="A5"/>
      <selection pane="bottomRight" activeCell="A4" sqref="A4:M18"/>
    </sheetView>
  </sheetViews>
  <sheetFormatPr defaultColWidth="8.6640625" defaultRowHeight="14.4" x14ac:dyDescent="0.3"/>
  <cols>
    <col min="1" max="1" width="8" customWidth="1"/>
    <col min="2" max="2" width="10" customWidth="1"/>
    <col min="3" max="3" width="36" customWidth="1"/>
    <col min="4" max="4" width="40" customWidth="1"/>
    <col min="5" max="5" width="10" customWidth="1"/>
    <col min="6" max="6" width="15" customWidth="1"/>
    <col min="7" max="7" width="10" customWidth="1"/>
    <col min="8" max="8" width="20" customWidth="1"/>
    <col min="9" max="10" width="50" customWidth="1"/>
    <col min="11" max="11" width="16" customWidth="1"/>
    <col min="12" max="12" width="9" customWidth="1"/>
    <col min="13" max="13" width="26" customWidth="1"/>
  </cols>
  <sheetData>
    <row r="1" spans="1:13" ht="17.399999999999999" x14ac:dyDescent="0.3">
      <c r="A1" s="1" t="s">
        <v>300</v>
      </c>
    </row>
    <row r="2" spans="1:13" x14ac:dyDescent="0.3">
      <c r="A2" s="2" t="s">
        <v>301</v>
      </c>
    </row>
    <row r="4" spans="1:13" ht="26.4" x14ac:dyDescent="0.3">
      <c r="A4" s="7" t="s">
        <v>302</v>
      </c>
      <c r="B4" s="7" t="s">
        <v>303</v>
      </c>
      <c r="C4" s="7" t="s">
        <v>304</v>
      </c>
      <c r="D4" s="7" t="s">
        <v>305</v>
      </c>
      <c r="E4" s="7" t="s">
        <v>29</v>
      </c>
      <c r="F4" s="7" t="s">
        <v>15</v>
      </c>
      <c r="G4" s="7" t="s">
        <v>40</v>
      </c>
      <c r="H4" s="7" t="s">
        <v>306</v>
      </c>
      <c r="I4" s="7" t="s">
        <v>307</v>
      </c>
      <c r="J4" s="7" t="s">
        <v>308</v>
      </c>
      <c r="K4" s="7" t="s">
        <v>309</v>
      </c>
      <c r="L4" s="7" t="s">
        <v>310</v>
      </c>
      <c r="M4" s="7" t="s">
        <v>311</v>
      </c>
    </row>
    <row r="5" spans="1:13" ht="26.4" x14ac:dyDescent="0.3">
      <c r="A5" s="16" t="s">
        <v>312</v>
      </c>
      <c r="B5" s="16" t="s">
        <v>160</v>
      </c>
      <c r="C5" s="21" t="str">
        <f>INDEX(Mapping_Matrix!$D$5:$D$39,MATCH($B5,Mapping_Matrix!$A$5:$A$39,0))</f>
        <v>Notice to Data Principals</v>
      </c>
      <c r="D5" s="21" t="str">
        <f>INDEX(Mapping_Matrix!$G$5:$G$39,MATCH($B5,Mapping_Matrix!$A$5:$A$39,0))</f>
        <v>S.5; Rule 3 (standalone, itemised notice)</v>
      </c>
      <c r="E5" s="22">
        <f>INDEX(Mapping_Matrix!$L$5:$L$39,MATCH($B5,Mapping_Matrix!$A$5:$A$39,0))</f>
        <v>0</v>
      </c>
      <c r="F5" s="23" t="str">
        <f>INDEX(Mapping_Matrix!$M$5:$M$39,MATCH($B5,Mapping_Matrix!$A$5:$A$39,0))</f>
        <v>Gap</v>
      </c>
      <c r="G5" s="23" t="str">
        <f>INDEX(Mapping_Matrix!$P$5:$P$39,MATCH($B5,Mapping_Matrix!$A$5:$A$39,0))</f>
        <v>Critical</v>
      </c>
      <c r="H5" s="24" t="s">
        <v>313</v>
      </c>
      <c r="I5" s="24" t="s">
        <v>314</v>
      </c>
      <c r="J5" s="24" t="s">
        <v>315</v>
      </c>
      <c r="K5" s="24" t="s">
        <v>316</v>
      </c>
      <c r="L5" s="18" t="s">
        <v>43</v>
      </c>
      <c r="M5" s="24" t="s">
        <v>317</v>
      </c>
    </row>
    <row r="6" spans="1:13" ht="26.4" x14ac:dyDescent="0.3">
      <c r="A6" s="16" t="s">
        <v>318</v>
      </c>
      <c r="B6" s="16" t="s">
        <v>167</v>
      </c>
      <c r="C6" s="21" t="str">
        <f>INDEX(Mapping_Matrix!$D$5:$D$39,MATCH($B6,Mapping_Matrix!$A$5:$A$39,0))</f>
        <v>Consent capture, withdrawal, legitimate uses and Consent Managers</v>
      </c>
      <c r="D6" s="21" t="str">
        <f>INDEX(Mapping_Matrix!$G$5:$G$39,MATCH($B6,Mapping_Matrix!$A$5:$A$39,0))</f>
        <v>S.6, S.7; Rule 4 (Consent Manager registration)</v>
      </c>
      <c r="E6" s="22">
        <f>INDEX(Mapping_Matrix!$L$5:$L$39,MATCH($B6,Mapping_Matrix!$A$5:$A$39,0))</f>
        <v>0</v>
      </c>
      <c r="F6" s="23" t="str">
        <f>INDEX(Mapping_Matrix!$M$5:$M$39,MATCH($B6,Mapping_Matrix!$A$5:$A$39,0))</f>
        <v>Gap</v>
      </c>
      <c r="G6" s="23" t="str">
        <f>INDEX(Mapping_Matrix!$P$5:$P$39,MATCH($B6,Mapping_Matrix!$A$5:$A$39,0))</f>
        <v>Critical</v>
      </c>
      <c r="H6" s="24" t="s">
        <v>313</v>
      </c>
      <c r="I6" s="24" t="s">
        <v>319</v>
      </c>
      <c r="J6" s="24" t="s">
        <v>320</v>
      </c>
      <c r="K6" s="24" t="s">
        <v>321</v>
      </c>
      <c r="L6" s="18" t="s">
        <v>42</v>
      </c>
      <c r="M6" s="24" t="s">
        <v>322</v>
      </c>
    </row>
    <row r="7" spans="1:13" ht="39.6" x14ac:dyDescent="0.3">
      <c r="A7" s="16" t="s">
        <v>323</v>
      </c>
      <c r="B7" s="16" t="s">
        <v>173</v>
      </c>
      <c r="C7" s="21" t="str">
        <f>INDEX(Mapping_Matrix!$D$5:$D$39,MATCH($B7,Mapping_Matrix!$A$5:$A$39,0))</f>
        <v>Children's data and persons with disabilities</v>
      </c>
      <c r="D7" s="21" t="str">
        <f>INDEX(Mapping_Matrix!$G$5:$G$39,MATCH($B7,Mapping_Matrix!$A$5:$A$39,0))</f>
        <v>S.9; Rules 10-12 (verifiable parental consent; no tracking, behavioural monitoring or targeted ads to children)</v>
      </c>
      <c r="E7" s="22">
        <f>INDEX(Mapping_Matrix!$L$5:$L$39,MATCH($B7,Mapping_Matrix!$A$5:$A$39,0))</f>
        <v>0</v>
      </c>
      <c r="F7" s="23" t="str">
        <f>INDEX(Mapping_Matrix!$M$5:$M$39,MATCH($B7,Mapping_Matrix!$A$5:$A$39,0))</f>
        <v>Gap</v>
      </c>
      <c r="G7" s="23" t="str">
        <f>INDEX(Mapping_Matrix!$P$5:$P$39,MATCH($B7,Mapping_Matrix!$A$5:$A$39,0))</f>
        <v>Critical</v>
      </c>
      <c r="H7" s="24" t="s">
        <v>313</v>
      </c>
      <c r="I7" s="24" t="s">
        <v>324</v>
      </c>
      <c r="J7" s="24" t="s">
        <v>325</v>
      </c>
      <c r="K7" s="24" t="s">
        <v>326</v>
      </c>
      <c r="L7" s="18" t="s">
        <v>42</v>
      </c>
      <c r="M7" s="24" t="s">
        <v>317</v>
      </c>
    </row>
    <row r="8" spans="1:13" ht="26.4" x14ac:dyDescent="0.3">
      <c r="A8" s="16" t="s">
        <v>327</v>
      </c>
      <c r="B8" s="16" t="s">
        <v>178</v>
      </c>
      <c r="C8" s="21" t="str">
        <f>INDEX(Mapping_Matrix!$D$5:$D$39,MATCH($B8,Mapping_Matrix!$A$5:$A$39,0))</f>
        <v>Right to information about personal data</v>
      </c>
      <c r="D8" s="21" t="str">
        <f>INDEX(Mapping_Matrix!$G$5:$G$39,MATCH($B8,Mapping_Matrix!$A$5:$A$39,0))</f>
        <v>S.11; Rule 14</v>
      </c>
      <c r="E8" s="22">
        <f>INDEX(Mapping_Matrix!$L$5:$L$39,MATCH($B8,Mapping_Matrix!$A$5:$A$39,0))</f>
        <v>0.5</v>
      </c>
      <c r="F8" s="23" t="str">
        <f>INDEX(Mapping_Matrix!$M$5:$M$39,MATCH($B8,Mapping_Matrix!$A$5:$A$39,0))</f>
        <v>Weak / indirect</v>
      </c>
      <c r="G8" s="23" t="str">
        <f>INDEX(Mapping_Matrix!$P$5:$P$39,MATCH($B8,Mapping_Matrix!$A$5:$A$39,0))</f>
        <v>High</v>
      </c>
      <c r="H8" s="24" t="s">
        <v>313</v>
      </c>
      <c r="I8" s="24" t="s">
        <v>328</v>
      </c>
      <c r="J8" s="24" t="s">
        <v>329</v>
      </c>
      <c r="K8" s="24" t="s">
        <v>330</v>
      </c>
      <c r="L8" s="18" t="s">
        <v>43</v>
      </c>
      <c r="M8" s="24" t="s">
        <v>317</v>
      </c>
    </row>
    <row r="9" spans="1:13" ht="26.4" x14ac:dyDescent="0.3">
      <c r="A9" s="16" t="s">
        <v>331</v>
      </c>
      <c r="B9" s="16" t="s">
        <v>184</v>
      </c>
      <c r="C9" s="21" t="str">
        <f>INDEX(Mapping_Matrix!$D$5:$D$39,MATCH($B9,Mapping_Matrix!$A$5:$A$39,0))</f>
        <v>Right to correction and erasure</v>
      </c>
      <c r="D9" s="21" t="str">
        <f>INDEX(Mapping_Matrix!$G$5:$G$39,MATCH($B9,Mapping_Matrix!$A$5:$A$39,0))</f>
        <v>S.12; Rule 14</v>
      </c>
      <c r="E9" s="22">
        <f>INDEX(Mapping_Matrix!$L$5:$L$39,MATCH($B9,Mapping_Matrix!$A$5:$A$39,0))</f>
        <v>1</v>
      </c>
      <c r="F9" s="23" t="str">
        <f>INDEX(Mapping_Matrix!$M$5:$M$39,MATCH($B9,Mapping_Matrix!$A$5:$A$39,0))</f>
        <v>Weak / indirect</v>
      </c>
      <c r="G9" s="23" t="str">
        <f>INDEX(Mapping_Matrix!$P$5:$P$39,MATCH($B9,Mapping_Matrix!$A$5:$A$39,0))</f>
        <v>High</v>
      </c>
      <c r="H9" s="24" t="s">
        <v>332</v>
      </c>
      <c r="I9" s="24" t="s">
        <v>333</v>
      </c>
      <c r="J9" s="24" t="s">
        <v>334</v>
      </c>
      <c r="K9" s="24" t="s">
        <v>335</v>
      </c>
      <c r="L9" s="18" t="s">
        <v>43</v>
      </c>
      <c r="M9" s="24" t="s">
        <v>317</v>
      </c>
    </row>
    <row r="10" spans="1:13" x14ac:dyDescent="0.3">
      <c r="A10" s="16" t="s">
        <v>336</v>
      </c>
      <c r="B10" s="16" t="s">
        <v>191</v>
      </c>
      <c r="C10" s="21" t="str">
        <f>INDEX(Mapping_Matrix!$D$5:$D$39,MATCH($B10,Mapping_Matrix!$A$5:$A$39,0))</f>
        <v>Grievance redressal and right to nominate</v>
      </c>
      <c r="D10" s="21" t="str">
        <f>INDEX(Mapping_Matrix!$G$5:$G$39,MATCH($B10,Mapping_Matrix!$A$5:$A$39,0))</f>
        <v>S.8(10), S.13, S.14; Rule 14</v>
      </c>
      <c r="E10" s="22">
        <f>INDEX(Mapping_Matrix!$L$5:$L$39,MATCH($B10,Mapping_Matrix!$A$5:$A$39,0))</f>
        <v>0</v>
      </c>
      <c r="F10" s="23" t="str">
        <f>INDEX(Mapping_Matrix!$M$5:$M$39,MATCH($B10,Mapping_Matrix!$A$5:$A$39,0))</f>
        <v>Gap</v>
      </c>
      <c r="G10" s="23" t="str">
        <f>INDEX(Mapping_Matrix!$P$5:$P$39,MATCH($B10,Mapping_Matrix!$A$5:$A$39,0))</f>
        <v>Critical</v>
      </c>
      <c r="H10" s="24" t="s">
        <v>313</v>
      </c>
      <c r="I10" s="24" t="s">
        <v>337</v>
      </c>
      <c r="J10" s="24" t="s">
        <v>338</v>
      </c>
      <c r="K10" s="24" t="s">
        <v>339</v>
      </c>
      <c r="L10" s="18" t="s">
        <v>44</v>
      </c>
      <c r="M10" s="24" t="s">
        <v>317</v>
      </c>
    </row>
    <row r="11" spans="1:13" ht="39.6" x14ac:dyDescent="0.3">
      <c r="A11" s="16" t="s">
        <v>340</v>
      </c>
      <c r="B11" s="16" t="s">
        <v>279</v>
      </c>
      <c r="C11" s="21" t="str">
        <f>INDEX(Mapping_Matrix!$D$5:$D$39,MATCH($B11,Mapping_Matrix!$A$5:$A$39,0))</f>
        <v>Breach notification to Board and each affected Data Principal</v>
      </c>
      <c r="D11" s="21" t="str">
        <f>INDEX(Mapping_Matrix!$G$5:$G$39,MATCH($B11,Mapping_Matrix!$A$5:$A$39,0))</f>
        <v>S.8(6); Rule 7 (without delay to individuals; to the Board without delay, with detailed report within 72 hours)</v>
      </c>
      <c r="E11" s="22">
        <f>INDEX(Mapping_Matrix!$L$5:$L$39,MATCH($B11,Mapping_Matrix!$A$5:$A$39,0))</f>
        <v>1</v>
      </c>
      <c r="F11" s="23" t="str">
        <f>INDEX(Mapping_Matrix!$M$5:$M$39,MATCH($B11,Mapping_Matrix!$A$5:$A$39,0))</f>
        <v>Weak / indirect</v>
      </c>
      <c r="G11" s="23" t="str">
        <f>INDEX(Mapping_Matrix!$P$5:$P$39,MATCH($B11,Mapping_Matrix!$A$5:$A$39,0))</f>
        <v>Critical</v>
      </c>
      <c r="H11" s="24" t="s">
        <v>341</v>
      </c>
      <c r="I11" s="24" t="s">
        <v>342</v>
      </c>
      <c r="J11" s="24" t="s">
        <v>343</v>
      </c>
      <c r="K11" s="24" t="s">
        <v>344</v>
      </c>
      <c r="L11" s="18" t="s">
        <v>44</v>
      </c>
      <c r="M11" s="24" t="s">
        <v>317</v>
      </c>
    </row>
    <row r="12" spans="1:13" ht="26.4" x14ac:dyDescent="0.3">
      <c r="A12" s="16" t="s">
        <v>345</v>
      </c>
      <c r="B12" s="16" t="s">
        <v>125</v>
      </c>
      <c r="C12" s="21" t="str">
        <f>INDEX(Mapping_Matrix!$D$5:$D$39,MATCH($B12,Mapping_Matrix!$A$5:$A$39,0))</f>
        <v>Inventory of assets and personal data (data map)</v>
      </c>
      <c r="D12" s="21" t="str">
        <f>INDEX(Mapping_Matrix!$G$5:$G$39,MATCH($B12,Mapping_Matrix!$A$5:$A$39,0))</f>
        <v>Implicit in S.8 and S.11 (right to summary of data and processors)</v>
      </c>
      <c r="E12" s="22">
        <f>INDEX(Mapping_Matrix!$L$5:$L$39,MATCH($B12,Mapping_Matrix!$A$5:$A$39,0))</f>
        <v>1</v>
      </c>
      <c r="F12" s="23" t="str">
        <f>INDEX(Mapping_Matrix!$M$5:$M$39,MATCH($B12,Mapping_Matrix!$A$5:$A$39,0))</f>
        <v>Weak / indirect</v>
      </c>
      <c r="G12" s="23" t="str">
        <f>INDEX(Mapping_Matrix!$P$5:$P$39,MATCH($B12,Mapping_Matrix!$A$5:$A$39,0))</f>
        <v>High</v>
      </c>
      <c r="H12" s="24" t="s">
        <v>346</v>
      </c>
      <c r="I12" s="24" t="s">
        <v>347</v>
      </c>
      <c r="J12" s="24" t="s">
        <v>348</v>
      </c>
      <c r="K12" s="24" t="s">
        <v>349</v>
      </c>
      <c r="L12" s="18" t="s">
        <v>43</v>
      </c>
      <c r="M12" s="24" t="s">
        <v>317</v>
      </c>
    </row>
    <row r="13" spans="1:13" ht="26.4" x14ac:dyDescent="0.3">
      <c r="A13" s="16" t="s">
        <v>350</v>
      </c>
      <c r="B13" s="16" t="s">
        <v>139</v>
      </c>
      <c r="C13" s="21" t="str">
        <f>INDEX(Mapping_Matrix!$D$5:$D$39,MATCH($B13,Mapping_Matrix!$A$5:$A$39,0))</f>
        <v>Data minimisation and purpose limitation</v>
      </c>
      <c r="D13" s="21" t="str">
        <f>INDEX(Mapping_Matrix!$G$5:$G$39,MATCH($B13,Mapping_Matrix!$A$5:$A$39,0))</f>
        <v>S.4, S.6(1) (consent limited to specified purpose)</v>
      </c>
      <c r="E13" s="22">
        <f>INDEX(Mapping_Matrix!$L$5:$L$39,MATCH($B13,Mapping_Matrix!$A$5:$A$39,0))</f>
        <v>0.5</v>
      </c>
      <c r="F13" s="23" t="str">
        <f>INDEX(Mapping_Matrix!$M$5:$M$39,MATCH($B13,Mapping_Matrix!$A$5:$A$39,0))</f>
        <v>Weak / indirect</v>
      </c>
      <c r="G13" s="23" t="str">
        <f>INDEX(Mapping_Matrix!$P$5:$P$39,MATCH($B13,Mapping_Matrix!$A$5:$A$39,0))</f>
        <v>High</v>
      </c>
      <c r="H13" s="24" t="s">
        <v>313</v>
      </c>
      <c r="I13" s="24" t="s">
        <v>351</v>
      </c>
      <c r="J13" s="24" t="s">
        <v>352</v>
      </c>
      <c r="K13" s="24" t="s">
        <v>353</v>
      </c>
      <c r="L13" s="18" t="s">
        <v>43</v>
      </c>
      <c r="M13" s="24" t="s">
        <v>317</v>
      </c>
    </row>
    <row r="14" spans="1:13" ht="39.6" x14ac:dyDescent="0.3">
      <c r="A14" s="16" t="s">
        <v>354</v>
      </c>
      <c r="B14" s="16" t="s">
        <v>153</v>
      </c>
      <c r="C14" s="21" t="str">
        <f>INDEX(Mapping_Matrix!$D$5:$D$39,MATCH($B14,Mapping_Matrix!$A$5:$A$39,0))</f>
        <v>Retention and erasure</v>
      </c>
      <c r="D14" s="21" t="str">
        <f>INDEX(Mapping_Matrix!$G$5:$G$39,MATCH($B14,Mapping_Matrix!$A$5:$A$39,0))</f>
        <v>S.8(7); Rule 8 (erasure on withdrawal or purpose end; advance notice; specified retention)</v>
      </c>
      <c r="E14" s="22">
        <f>INDEX(Mapping_Matrix!$L$5:$L$39,MATCH($B14,Mapping_Matrix!$A$5:$A$39,0))</f>
        <v>1.5</v>
      </c>
      <c r="F14" s="23" t="str">
        <f>INDEX(Mapping_Matrix!$M$5:$M$39,MATCH($B14,Mapping_Matrix!$A$5:$A$39,0))</f>
        <v>Partial overlap</v>
      </c>
      <c r="G14" s="23" t="str">
        <f>INDEX(Mapping_Matrix!$P$5:$P$39,MATCH($B14,Mapping_Matrix!$A$5:$A$39,0))</f>
        <v>High</v>
      </c>
      <c r="H14" s="24" t="s">
        <v>341</v>
      </c>
      <c r="I14" s="24" t="s">
        <v>355</v>
      </c>
      <c r="J14" s="24" t="s">
        <v>356</v>
      </c>
      <c r="K14" s="24" t="s">
        <v>357</v>
      </c>
      <c r="L14" s="18" t="s">
        <v>42</v>
      </c>
      <c r="M14" s="24" t="s">
        <v>317</v>
      </c>
    </row>
    <row r="15" spans="1:13" ht="26.4" x14ac:dyDescent="0.3">
      <c r="A15" s="16" t="s">
        <v>358</v>
      </c>
      <c r="B15" s="16" t="s">
        <v>104</v>
      </c>
      <c r="C15" s="21" t="str">
        <f>INDEX(Mapping_Matrix!$D$5:$D$39,MATCH($B15,Mapping_Matrix!$A$5:$A$39,0))</f>
        <v>Data Protection Impact Assessment and algorithmic due diligence (SDF)</v>
      </c>
      <c r="D15" s="21" t="str">
        <f>INDEX(Mapping_Matrix!$G$5:$G$39,MATCH($B15,Mapping_Matrix!$A$5:$A$39,0))</f>
        <v>S.10(2)(c); Rule 13 (periodic DPIA, audit, algorithmic software checks)</v>
      </c>
      <c r="E15" s="22">
        <f>INDEX(Mapping_Matrix!$L$5:$L$39,MATCH($B15,Mapping_Matrix!$A$5:$A$39,0))</f>
        <v>1</v>
      </c>
      <c r="F15" s="23" t="str">
        <f>INDEX(Mapping_Matrix!$M$5:$M$39,MATCH($B15,Mapping_Matrix!$A$5:$A$39,0))</f>
        <v>Weak / indirect</v>
      </c>
      <c r="G15" s="23" t="str">
        <f>INDEX(Mapping_Matrix!$P$5:$P$39,MATCH($B15,Mapping_Matrix!$A$5:$A$39,0))</f>
        <v>Medium</v>
      </c>
      <c r="H15" s="24" t="s">
        <v>313</v>
      </c>
      <c r="I15" s="24" t="s">
        <v>359</v>
      </c>
      <c r="J15" s="24" t="s">
        <v>360</v>
      </c>
      <c r="K15" s="24" t="s">
        <v>361</v>
      </c>
      <c r="L15" s="18" t="s">
        <v>43</v>
      </c>
      <c r="M15" s="24" t="s">
        <v>317</v>
      </c>
    </row>
    <row r="16" spans="1:13" ht="26.4" x14ac:dyDescent="0.3">
      <c r="A16" s="16" t="s">
        <v>362</v>
      </c>
      <c r="B16" s="16" t="s">
        <v>82</v>
      </c>
      <c r="C16" s="21" t="str">
        <f>INDEX(Mapping_Matrix!$D$5:$D$39,MATCH($B16,Mapping_Matrix!$A$5:$A$39,0))</f>
        <v>Privacy role: DPO or designated contact point</v>
      </c>
      <c r="D16" s="21" t="str">
        <f>INDEX(Mapping_Matrix!$G$5:$G$39,MATCH($B16,Mapping_Matrix!$A$5:$A$39,0))</f>
        <v>S.8(9) and Rule 9 (publish contact); S.10(2)(a) (India-based DPO for SDF)</v>
      </c>
      <c r="E16" s="22">
        <f>INDEX(Mapping_Matrix!$L$5:$L$39,MATCH($B16,Mapping_Matrix!$A$5:$A$39,0))</f>
        <v>1</v>
      </c>
      <c r="F16" s="23" t="str">
        <f>INDEX(Mapping_Matrix!$M$5:$M$39,MATCH($B16,Mapping_Matrix!$A$5:$A$39,0))</f>
        <v>Weak / indirect</v>
      </c>
      <c r="G16" s="23" t="str">
        <f>INDEX(Mapping_Matrix!$P$5:$P$39,MATCH($B16,Mapping_Matrix!$A$5:$A$39,0))</f>
        <v>High</v>
      </c>
      <c r="H16" s="24" t="s">
        <v>313</v>
      </c>
      <c r="I16" s="24" t="s">
        <v>363</v>
      </c>
      <c r="J16" s="24" t="s">
        <v>364</v>
      </c>
      <c r="K16" s="24" t="s">
        <v>365</v>
      </c>
      <c r="L16" s="18" t="s">
        <v>44</v>
      </c>
      <c r="M16" s="24" t="s">
        <v>317</v>
      </c>
    </row>
    <row r="17" spans="1:13" ht="26.4" x14ac:dyDescent="0.3">
      <c r="A17" s="16" t="s">
        <v>366</v>
      </c>
      <c r="B17" s="16" t="s">
        <v>293</v>
      </c>
      <c r="C17" s="21" t="str">
        <f>INDEX(Mapping_Matrix!$D$5:$D$39,MATCH($B17,Mapping_Matrix!$A$5:$A$39,0))</f>
        <v>Cross-border transfers</v>
      </c>
      <c r="D17" s="21" t="str">
        <f>INDEX(Mapping_Matrix!$G$5:$G$39,MATCH($B17,Mapping_Matrix!$A$5:$A$39,0))</f>
        <v>S.16; Rule 15; Rule 13 (data localisation for specified SDF data)</v>
      </c>
      <c r="E17" s="22">
        <f>INDEX(Mapping_Matrix!$L$5:$L$39,MATCH($B17,Mapping_Matrix!$A$5:$A$39,0))</f>
        <v>0.5</v>
      </c>
      <c r="F17" s="23" t="str">
        <f>INDEX(Mapping_Matrix!$M$5:$M$39,MATCH($B17,Mapping_Matrix!$A$5:$A$39,0))</f>
        <v>Weak / indirect</v>
      </c>
      <c r="G17" s="23" t="str">
        <f>INDEX(Mapping_Matrix!$P$5:$P$39,MATCH($B17,Mapping_Matrix!$A$5:$A$39,0))</f>
        <v>Medium</v>
      </c>
      <c r="H17" s="24" t="s">
        <v>367</v>
      </c>
      <c r="I17" s="24" t="s">
        <v>368</v>
      </c>
      <c r="J17" s="24" t="s">
        <v>369</v>
      </c>
      <c r="K17" s="24" t="s">
        <v>370</v>
      </c>
      <c r="L17" s="18" t="s">
        <v>43</v>
      </c>
      <c r="M17" s="24" t="s">
        <v>317</v>
      </c>
    </row>
    <row r="18" spans="1:13" ht="26.4" x14ac:dyDescent="0.3">
      <c r="A18" s="16" t="s">
        <v>371</v>
      </c>
      <c r="B18" s="16" t="s">
        <v>219</v>
      </c>
      <c r="C18" s="21" t="str">
        <f>INDEX(Mapping_Matrix!$D$5:$D$39,MATCH($B18,Mapping_Matrix!$A$5:$A$39,0))</f>
        <v>Logging, monitoring and log retention</v>
      </c>
      <c r="D18" s="21" t="str">
        <f>INDEX(Mapping_Matrix!$G$5:$G$39,MATCH($B18,Mapping_Matrix!$A$5:$A$39,0))</f>
        <v>Rule 6(1)(c), 6(1)(e) (monitoring; retention of logs and data for a specified minimum period)</v>
      </c>
      <c r="E18" s="22">
        <f>INDEX(Mapping_Matrix!$L$5:$L$39,MATCH($B18,Mapping_Matrix!$A$5:$A$39,0))</f>
        <v>2</v>
      </c>
      <c r="F18" s="23" t="str">
        <f>INDEX(Mapping_Matrix!$M$5:$M$39,MATCH($B18,Mapping_Matrix!$A$5:$A$39,0))</f>
        <v>Partial overlap</v>
      </c>
      <c r="G18" s="23" t="str">
        <f>INDEX(Mapping_Matrix!$P$5:$P$39,MATCH($B18,Mapping_Matrix!$A$5:$A$39,0))</f>
        <v>Medium</v>
      </c>
      <c r="H18" s="24" t="s">
        <v>341</v>
      </c>
      <c r="I18" s="24" t="s">
        <v>372</v>
      </c>
      <c r="J18" s="24" t="s">
        <v>373</v>
      </c>
      <c r="K18" s="24" t="s">
        <v>374</v>
      </c>
      <c r="L18" s="18" t="s">
        <v>44</v>
      </c>
      <c r="M18" s="24" t="s">
        <v>317</v>
      </c>
    </row>
  </sheetData>
  <autoFilter ref="A4:M18" xr:uid="{00000000-0009-0000-0000-000002000000}"/>
  <conditionalFormatting sqref="G5:G18">
    <cfRule type="expression" dxfId="3" priority="2">
      <formula>$G5="Critical"</formula>
    </cfRule>
    <cfRule type="expression" dxfId="2" priority="3">
      <formula>$G5="High"</formula>
    </cfRule>
    <cfRule type="expression" dxfId="1" priority="4">
      <formula>$G5="Medium"</formula>
    </cfRule>
    <cfRule type="expression" dxfId="0" priority="5">
      <formula>$G5="Low"</formula>
    </cfRule>
  </conditionalFormatting>
  <pageMargins left="0.75" right="0.75" top="1" bottom="1" header="0.511811023622047" footer="0.511811023622047"/>
  <pageSetup paperSize="9" orientation="portrait" horizontalDpi="300" verticalDpi="300"/>
  <headerFooter>
    <oddHeader>&amp;C&amp;"SKF Sans Office"&amp;10&amp;K0000FE Confidentiality: C2 – Internal &amp;1#_x000D_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3"/>
  <sheetViews>
    <sheetView zoomScaleNormal="100" workbookViewId="0">
      <selection activeCell="A3" sqref="A3:D13"/>
    </sheetView>
  </sheetViews>
  <sheetFormatPr defaultColWidth="8.6640625" defaultRowHeight="14.4" x14ac:dyDescent="0.3"/>
  <cols>
    <col min="1" max="1" width="27.6640625" bestFit="1" customWidth="1"/>
    <col min="2" max="3" width="50" customWidth="1"/>
    <col min="4" max="4" width="55" customWidth="1"/>
  </cols>
  <sheetData>
    <row r="1" spans="1:4" ht="17.399999999999999" x14ac:dyDescent="0.3">
      <c r="A1" s="1" t="s">
        <v>375</v>
      </c>
    </row>
    <row r="3" spans="1:4" x14ac:dyDescent="0.3">
      <c r="A3" s="7" t="s">
        <v>376</v>
      </c>
      <c r="B3" s="7" t="s">
        <v>50</v>
      </c>
      <c r="C3" s="7" t="s">
        <v>51</v>
      </c>
      <c r="D3" s="7" t="s">
        <v>377</v>
      </c>
    </row>
    <row r="4" spans="1:4" x14ac:dyDescent="0.3">
      <c r="A4" s="25" t="s">
        <v>378</v>
      </c>
      <c r="B4" s="17" t="s">
        <v>379</v>
      </c>
      <c r="C4" s="17" t="s">
        <v>380</v>
      </c>
      <c r="D4" s="17" t="s">
        <v>381</v>
      </c>
    </row>
    <row r="5" spans="1:4" ht="26.4" x14ac:dyDescent="0.3">
      <c r="A5" s="25" t="s">
        <v>382</v>
      </c>
      <c r="B5" s="17" t="s">
        <v>383</v>
      </c>
      <c r="C5" s="17" t="s">
        <v>384</v>
      </c>
      <c r="D5" s="17" t="s">
        <v>385</v>
      </c>
    </row>
    <row r="6" spans="1:4" ht="39.6" x14ac:dyDescent="0.3">
      <c r="A6" s="25" t="s">
        <v>386</v>
      </c>
      <c r="B6" s="17" t="s">
        <v>387</v>
      </c>
      <c r="C6" s="17" t="s">
        <v>388</v>
      </c>
      <c r="D6" s="17" t="s">
        <v>389</v>
      </c>
    </row>
    <row r="7" spans="1:4" ht="26.4" x14ac:dyDescent="0.3">
      <c r="A7" s="25" t="s">
        <v>390</v>
      </c>
      <c r="B7" s="17" t="s">
        <v>391</v>
      </c>
      <c r="C7" s="17" t="s">
        <v>392</v>
      </c>
      <c r="D7" s="17" t="s">
        <v>393</v>
      </c>
    </row>
    <row r="8" spans="1:4" ht="39.6" x14ac:dyDescent="0.3">
      <c r="A8" s="25" t="s">
        <v>394</v>
      </c>
      <c r="B8" s="17" t="s">
        <v>395</v>
      </c>
      <c r="C8" s="17" t="s">
        <v>396</v>
      </c>
      <c r="D8" s="17" t="s">
        <v>397</v>
      </c>
    </row>
    <row r="9" spans="1:4" ht="26.4" x14ac:dyDescent="0.3">
      <c r="A9" s="25" t="s">
        <v>398</v>
      </c>
      <c r="B9" s="17" t="s">
        <v>399</v>
      </c>
      <c r="C9" s="17" t="s">
        <v>400</v>
      </c>
      <c r="D9" s="17" t="s">
        <v>401</v>
      </c>
    </row>
    <row r="10" spans="1:4" ht="26.4" x14ac:dyDescent="0.3">
      <c r="A10" s="25" t="s">
        <v>402</v>
      </c>
      <c r="B10" s="17" t="s">
        <v>403</v>
      </c>
      <c r="C10" s="17" t="s">
        <v>404</v>
      </c>
      <c r="D10" s="17" t="s">
        <v>405</v>
      </c>
    </row>
    <row r="11" spans="1:4" ht="26.4" x14ac:dyDescent="0.3">
      <c r="A11" s="25" t="s">
        <v>406</v>
      </c>
      <c r="B11" s="17" t="s">
        <v>407</v>
      </c>
      <c r="C11" s="17" t="s">
        <v>408</v>
      </c>
      <c r="D11" s="17" t="s">
        <v>409</v>
      </c>
    </row>
    <row r="12" spans="1:4" ht="26.4" x14ac:dyDescent="0.3">
      <c r="A12" s="25" t="s">
        <v>410</v>
      </c>
      <c r="B12" s="17" t="s">
        <v>411</v>
      </c>
      <c r="C12" s="17" t="s">
        <v>412</v>
      </c>
      <c r="D12" s="17" t="s">
        <v>413</v>
      </c>
    </row>
    <row r="13" spans="1:4" ht="26.4" x14ac:dyDescent="0.3">
      <c r="A13" s="25" t="s">
        <v>414</v>
      </c>
      <c r="B13" s="17" t="s">
        <v>415</v>
      </c>
      <c r="C13" s="17" t="s">
        <v>416</v>
      </c>
      <c r="D13" s="17" t="s">
        <v>417</v>
      </c>
    </row>
  </sheetData>
  <pageMargins left="0.75" right="0.75" top="1" bottom="1" header="0.511811023622047" footer="0.511811023622047"/>
  <pageSetup paperSize="9" orientation="portrait" horizontalDpi="300" verticalDpi="300"/>
  <headerFooter>
    <oddHeader>&amp;C&amp;"SKF Sans Office"&amp;10&amp;K0000FE Confidentiality: C2 – Internal &amp;1#_x000D_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3"/>
  <sheetViews>
    <sheetView zoomScaleNormal="100" workbookViewId="0">
      <selection activeCell="A9" sqref="A9:B23"/>
    </sheetView>
  </sheetViews>
  <sheetFormatPr defaultColWidth="8.6640625" defaultRowHeight="14.4" x14ac:dyDescent="0.3"/>
  <cols>
    <col min="1" max="1" width="45.6640625" customWidth="1"/>
    <col min="2" max="2" width="95" customWidth="1"/>
  </cols>
  <sheetData>
    <row r="1" spans="1:2" ht="15.6" x14ac:dyDescent="0.3">
      <c r="A1" s="26" t="s">
        <v>418</v>
      </c>
      <c r="B1" s="3"/>
    </row>
    <row r="2" spans="1:2" x14ac:dyDescent="0.3">
      <c r="A2" s="3"/>
      <c r="B2" s="3"/>
    </row>
    <row r="3" spans="1:2" x14ac:dyDescent="0.3">
      <c r="A3" s="27" t="s">
        <v>419</v>
      </c>
      <c r="B3" s="27" t="s">
        <v>420</v>
      </c>
    </row>
    <row r="4" spans="1:2" x14ac:dyDescent="0.3">
      <c r="A4" s="28">
        <v>3</v>
      </c>
      <c r="B4" s="28" t="s">
        <v>421</v>
      </c>
    </row>
    <row r="5" spans="1:2" ht="27.6" x14ac:dyDescent="0.3">
      <c r="A5" s="28">
        <v>2</v>
      </c>
      <c r="B5" s="28" t="s">
        <v>422</v>
      </c>
    </row>
    <row r="6" spans="1:2" x14ac:dyDescent="0.3">
      <c r="A6" s="28">
        <v>1</v>
      </c>
      <c r="B6" s="28" t="s">
        <v>423</v>
      </c>
    </row>
    <row r="7" spans="1:2" x14ac:dyDescent="0.3">
      <c r="A7" s="28">
        <v>0</v>
      </c>
      <c r="B7" s="28" t="s">
        <v>424</v>
      </c>
    </row>
    <row r="8" spans="1:2" x14ac:dyDescent="0.3">
      <c r="A8" s="3"/>
      <c r="B8" s="3"/>
    </row>
    <row r="9" spans="1:2" ht="39.6" x14ac:dyDescent="0.3">
      <c r="A9" s="29" t="s">
        <v>425</v>
      </c>
      <c r="B9" s="28"/>
    </row>
    <row r="10" spans="1:2" x14ac:dyDescent="0.3">
      <c r="A10" s="27" t="s">
        <v>15</v>
      </c>
      <c r="B10" s="27" t="s">
        <v>426</v>
      </c>
    </row>
    <row r="11" spans="1:2" x14ac:dyDescent="0.3">
      <c r="A11" s="28" t="s">
        <v>18</v>
      </c>
      <c r="B11" s="24">
        <v>2.5</v>
      </c>
    </row>
    <row r="12" spans="1:2" x14ac:dyDescent="0.3">
      <c r="A12" s="28" t="s">
        <v>19</v>
      </c>
      <c r="B12" s="24">
        <v>1.5</v>
      </c>
    </row>
    <row r="13" spans="1:2" x14ac:dyDescent="0.3">
      <c r="A13" s="28" t="s">
        <v>20</v>
      </c>
      <c r="B13" s="24">
        <v>0.5</v>
      </c>
    </row>
    <row r="14" spans="1:2" x14ac:dyDescent="0.3">
      <c r="A14" s="28" t="s">
        <v>21</v>
      </c>
      <c r="B14" s="28" t="s">
        <v>427</v>
      </c>
    </row>
    <row r="15" spans="1:2" x14ac:dyDescent="0.3">
      <c r="A15" s="28"/>
      <c r="B15" s="28"/>
    </row>
    <row r="16" spans="1:2" ht="15" customHeight="1" x14ac:dyDescent="0.3">
      <c r="A16" s="30" t="s">
        <v>428</v>
      </c>
      <c r="B16" s="30"/>
    </row>
    <row r="17" spans="1:2" ht="26.85" customHeight="1" x14ac:dyDescent="0.3">
      <c r="A17" s="31" t="s">
        <v>429</v>
      </c>
      <c r="B17" s="31"/>
    </row>
    <row r="18" spans="1:2" ht="26.85" customHeight="1" x14ac:dyDescent="0.3">
      <c r="A18" s="31" t="s">
        <v>430</v>
      </c>
      <c r="B18" s="31"/>
    </row>
    <row r="19" spans="1:2" ht="26.85" customHeight="1" x14ac:dyDescent="0.3">
      <c r="A19" s="31" t="s">
        <v>431</v>
      </c>
      <c r="B19" s="31"/>
    </row>
    <row r="20" spans="1:2" ht="39.6" customHeight="1" x14ac:dyDescent="0.3">
      <c r="A20" s="31" t="s">
        <v>432</v>
      </c>
      <c r="B20" s="31"/>
    </row>
    <row r="21" spans="1:2" ht="26.85" customHeight="1" x14ac:dyDescent="0.3">
      <c r="A21" s="31" t="s">
        <v>433</v>
      </c>
      <c r="B21" s="31"/>
    </row>
    <row r="22" spans="1:2" ht="26.85" customHeight="1" x14ac:dyDescent="0.3">
      <c r="A22" s="31" t="s">
        <v>434</v>
      </c>
      <c r="B22" s="31"/>
    </row>
    <row r="23" spans="1:2" ht="26.85" customHeight="1" x14ac:dyDescent="0.3">
      <c r="A23" s="31" t="s">
        <v>435</v>
      </c>
      <c r="B23" s="31"/>
    </row>
  </sheetData>
  <mergeCells count="8">
    <mergeCell ref="A21:B21"/>
    <mergeCell ref="A22:B22"/>
    <mergeCell ref="A23:B23"/>
    <mergeCell ref="A16:B16"/>
    <mergeCell ref="A17:B17"/>
    <mergeCell ref="A18:B18"/>
    <mergeCell ref="A19:B19"/>
    <mergeCell ref="A20:B20"/>
  </mergeCells>
  <pageMargins left="0.75" right="0.75" top="1" bottom="1" header="0.511811023622047" footer="0.511811023622047"/>
  <pageSetup paperSize="9" orientation="portrait" horizontalDpi="300" verticalDpi="300"/>
  <headerFooter>
    <oddHeader>&amp;C&amp;"SKF Sans Office"&amp;10&amp;K0000FE Confidentiality: C2 – Internal &amp;1#_x000D_</oddHeader>
  </headerFooter>
</worksheet>
</file>

<file path=docMetadata/LabelInfo.xml><?xml version="1.0" encoding="utf-8"?>
<clbl:labelList xmlns:clbl="http://schemas.microsoft.com/office/2020/mipLabelMetadata">
  <clbl:label id="{4ede1376-eff3-448c-a8a5-f3e79c769ae3}" enabled="1" method="Standard" siteId="{41875f2b-33e8-4670-92a8-f643afbb243a}" contentBits="3" removed="0"/>
</clbl:labelLis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Mapping_Matrix</vt:lpstr>
      <vt:lpstr>Gap_Register</vt:lpstr>
      <vt:lpstr>Framework_Overview</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Buddhadeb Maity</cp:lastModifiedBy>
  <cp:revision>1</cp:revision>
  <dcterms:created xsi:type="dcterms:W3CDTF">2026-09-29T09:37:35Z</dcterms:created>
  <dcterms:modified xsi:type="dcterms:W3CDTF">2026-09-29T15:05:29Z</dcterms:modified>
  <dc:language>en-US</dc:language>
</cp:coreProperties>
</file>